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ste\Downloads\"/>
    </mc:Choice>
  </mc:AlternateContent>
  <bookViews>
    <workbookView xWindow="0" yWindow="0" windowWidth="20490" windowHeight="7635" activeTab="1"/>
  </bookViews>
  <sheets>
    <sheet name="Sales Data" sheetId="1" r:id="rId1"/>
    <sheet name="sales by item by date" sheetId="2" r:id="rId2"/>
    <sheet name="Shift Validation" sheetId="3" r:id="rId3"/>
  </sheets>
  <calcPr calcId="152511" iterateDelta="1E-4"/>
</workbook>
</file>

<file path=xl/calcChain.xml><?xml version="1.0" encoding="utf-8"?>
<calcChain xmlns="http://schemas.openxmlformats.org/spreadsheetml/2006/main">
  <c r="C24" i="3" l="1"/>
  <c r="D24" i="3" s="1"/>
  <c r="C23" i="3"/>
  <c r="D23" i="3" s="1"/>
  <c r="C22" i="3"/>
  <c r="D22" i="3" s="1"/>
  <c r="C21" i="3"/>
  <c r="D21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J251" i="2"/>
  <c r="I251" i="2"/>
  <c r="H251" i="2"/>
  <c r="G251" i="2"/>
  <c r="F251" i="2"/>
  <c r="E251" i="2"/>
  <c r="D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</calcChain>
</file>

<file path=xl/sharedStrings.xml><?xml version="1.0" encoding="utf-8"?>
<sst xmlns="http://schemas.openxmlformats.org/spreadsheetml/2006/main" count="6605" uniqueCount="649">
  <si>
    <t>MALITABRA INVESTMENTS — PDF SALES EXTRACTION</t>
  </si>
  <si>
    <t>All matching line items from the 24-page PDF. Part 1 and Part 2 are joined by row order; item names are copied exactly from Part 2.</t>
  </si>
  <si>
    <t>Line #</t>
  </si>
  <si>
    <t>Receipt DateTime</t>
  </si>
  <si>
    <t>PDF Date</t>
  </si>
  <si>
    <t>PDF Time</t>
  </si>
  <si>
    <t>Shift Date</t>
  </si>
  <si>
    <t>Shift</t>
  </si>
  <si>
    <t>Cashier</t>
  </si>
  <si>
    <t>Department</t>
  </si>
  <si>
    <t>Type</t>
  </si>
  <si>
    <t>Currency</t>
  </si>
  <si>
    <t>Slip#</t>
  </si>
  <si>
    <t>Item Code</t>
  </si>
  <si>
    <t>Item Name</t>
  </si>
  <si>
    <t>Unit Price</t>
  </si>
  <si>
    <t>Qty</t>
  </si>
  <si>
    <t>Gross</t>
  </si>
  <si>
    <t>Disc</t>
  </si>
  <si>
    <t>VAT</t>
  </si>
  <si>
    <t>G.Profit</t>
  </si>
  <si>
    <t>Net Price</t>
  </si>
  <si>
    <t>Part 1 Page</t>
  </si>
  <si>
    <t>Part 2 Page</t>
  </si>
  <si>
    <t>SYS-DAY</t>
  </si>
  <si>
    <t>LOVE</t>
  </si>
  <si>
    <t>ADMIN</t>
  </si>
  <si>
    <t>USD</t>
  </si>
  <si>
    <t>LOVE260929070436</t>
  </si>
  <si>
    <t>J1002</t>
  </si>
  <si>
    <t>White Tissue 2ply</t>
  </si>
  <si>
    <t>LOVE260929073449</t>
  </si>
  <si>
    <t>9556564802006</t>
  </si>
  <si>
    <t>Carex Ribbed</t>
  </si>
  <si>
    <t>LOVE260929080120</t>
  </si>
  <si>
    <t>5449000062925</t>
  </si>
  <si>
    <t>Bonaqua 1.5L</t>
  </si>
  <si>
    <t>LOVE260929081639</t>
  </si>
  <si>
    <t>271B</t>
  </si>
  <si>
    <t>Dandy Loose Bubblegum</t>
  </si>
  <si>
    <t>LOVE260929082535</t>
  </si>
  <si>
    <t>5449000095572</t>
  </si>
  <si>
    <t>Mazoe Blackberry Original 2l</t>
  </si>
  <si>
    <t>6009698815075</t>
  </si>
  <si>
    <t>Dendairy 1 Ltre</t>
  </si>
  <si>
    <t>6007421003492</t>
  </si>
  <si>
    <t>RED SEAL TABLE SALT 1KG</t>
  </si>
  <si>
    <t>A223</t>
  </si>
  <si>
    <t>Crystal Toffees</t>
  </si>
  <si>
    <t>LOVE260929082930</t>
  </si>
  <si>
    <t>2202900</t>
  </si>
  <si>
    <t>Soft Drink 300ml</t>
  </si>
  <si>
    <t>LOVE260929083806</t>
  </si>
  <si>
    <t>90000000</t>
  </si>
  <si>
    <t>Bonaqua Water 500ml</t>
  </si>
  <si>
    <t>LOVE260929084327</t>
  </si>
  <si>
    <t>6007497001323</t>
  </si>
  <si>
    <t>Lakkernax Cheese 28g</t>
  </si>
  <si>
    <t>LOVE260929084931</t>
  </si>
  <si>
    <t>EGGS2024</t>
  </si>
  <si>
    <t>Eggs</t>
  </si>
  <si>
    <t>LOVE260929085219</t>
  </si>
  <si>
    <t>LOVE260929085240</t>
  </si>
  <si>
    <t>5449000093943</t>
  </si>
  <si>
    <t>Bonaqua 5l</t>
  </si>
  <si>
    <t>LOVE260929085618</t>
  </si>
  <si>
    <t>6009698811428</t>
  </si>
  <si>
    <t>Dendairy UHT Long Life Full Cream 1 Ltre</t>
  </si>
  <si>
    <t>6007497100798</t>
  </si>
  <si>
    <t>Sun Mixed Fruit Jam 500g</t>
  </si>
  <si>
    <t>LOVE260929085815</t>
  </si>
  <si>
    <t>6007265001746</t>
  </si>
  <si>
    <t>Lobels Chunky Choc Dipper Cookies 150g</t>
  </si>
  <si>
    <t>6009801478005</t>
  </si>
  <si>
    <t>Blixem Degreaser 500ml</t>
  </si>
  <si>
    <t>LOVE260929091437</t>
  </si>
  <si>
    <t>6009800620221</t>
  </si>
  <si>
    <t>Eazy Mufushwa Wenzungu 75g</t>
  </si>
  <si>
    <t>LOVE260929093123</t>
  </si>
  <si>
    <t>LOVE260929094048</t>
  </si>
  <si>
    <t>LOVE260929101631</t>
  </si>
  <si>
    <t>90399497</t>
  </si>
  <si>
    <t>Minute Maid Orange 400ml</t>
  </si>
  <si>
    <t>LOVE260929104709</t>
  </si>
  <si>
    <t>6007265001845</t>
  </si>
  <si>
    <t>Lobels Lemon And Orange Cookies 150g</t>
  </si>
  <si>
    <t>6009698813576</t>
  </si>
  <si>
    <t>Victoria Fruit Apple 1L</t>
  </si>
  <si>
    <t>5449000664686</t>
  </si>
  <si>
    <t>Coke Pets 440mls</t>
  </si>
  <si>
    <t>6007265001753</t>
  </si>
  <si>
    <t>Lobels Eat One Now Cookies 150g</t>
  </si>
  <si>
    <t>6009800620252</t>
  </si>
  <si>
    <t>Eazy Mhandire Chill 75g</t>
  </si>
  <si>
    <t>6004842000291</t>
  </si>
  <si>
    <t>Cascade Baobab1L</t>
  </si>
  <si>
    <t>6008165293798</t>
  </si>
  <si>
    <t>Everest 20s</t>
  </si>
  <si>
    <t>5449000106421</t>
  </si>
  <si>
    <t>Stoney Ginger 330mls</t>
  </si>
  <si>
    <t>5449000664860</t>
  </si>
  <si>
    <t>Sp Lta Pinut 440ml</t>
  </si>
  <si>
    <t>LOVE260929105525</t>
  </si>
  <si>
    <t>6009602270068</t>
  </si>
  <si>
    <t>Proton Cookies 250g</t>
  </si>
  <si>
    <t>6009880793709</t>
  </si>
  <si>
    <t>AQUA CLEAR 500ML</t>
  </si>
  <si>
    <t>LOVE260929110128</t>
  </si>
  <si>
    <t>LOVE260929113307</t>
  </si>
  <si>
    <t>5449000188342</t>
  </si>
  <si>
    <t>Minute Maid Apple Grape 400ml</t>
  </si>
  <si>
    <t>7622210626134</t>
  </si>
  <si>
    <t>Dentyne Peppermint</t>
  </si>
  <si>
    <t>90399480</t>
  </si>
  <si>
    <t>Minute Maid Tropical 400ml</t>
  </si>
  <si>
    <t>LOVE260929114353</t>
  </si>
  <si>
    <t>LOVE260929121806</t>
  </si>
  <si>
    <t>LOVE260929122153</t>
  </si>
  <si>
    <t>LOVE260929130015</t>
  </si>
  <si>
    <t>LOVE260929133550</t>
  </si>
  <si>
    <t>5449000131805</t>
  </si>
  <si>
    <t>Coke Zero Can 330ml</t>
  </si>
  <si>
    <t>LOVE260929140301</t>
  </si>
  <si>
    <t>LOVE260929141527</t>
  </si>
  <si>
    <t>9556564082149</t>
  </si>
  <si>
    <t>Fantasy Dotted Tutti</t>
  </si>
  <si>
    <t>LOVE260929142635</t>
  </si>
  <si>
    <t>9556564814009</t>
  </si>
  <si>
    <t>Carex Rough And Tough</t>
  </si>
  <si>
    <t>LOVE260929142816</t>
  </si>
  <si>
    <t>LOVE260929142930</t>
  </si>
  <si>
    <t>LOVE260929143818</t>
  </si>
  <si>
    <t>LOVE260929144350</t>
  </si>
  <si>
    <t>LOVE260929145435</t>
  </si>
  <si>
    <t>LOVE260929151721</t>
  </si>
  <si>
    <t>LOVE260929154035</t>
  </si>
  <si>
    <t>LOVE260929155021</t>
  </si>
  <si>
    <t>LOVE260929155220</t>
  </si>
  <si>
    <t>LOVE260929162701</t>
  </si>
  <si>
    <t>LOVE260929173337</t>
  </si>
  <si>
    <t>6007497004225</t>
  </si>
  <si>
    <t>Spuds Tomato Ketchup 23g</t>
  </si>
  <si>
    <t>LOVE260929173744</t>
  </si>
  <si>
    <t>6005572000216</t>
  </si>
  <si>
    <t>Dairibord Steri 500ml</t>
  </si>
  <si>
    <t>LOVE260929174826</t>
  </si>
  <si>
    <t>5449000009067</t>
  </si>
  <si>
    <t>Coca Cola 2l</t>
  </si>
  <si>
    <t>LOVE260929181455</t>
  </si>
  <si>
    <t>6005964002903</t>
  </si>
  <si>
    <t>Pascall Mint Choc Small</t>
  </si>
  <si>
    <t>25 EVERSHARP</t>
  </si>
  <si>
    <t>Eversharp Pen</t>
  </si>
  <si>
    <t>LOVE260929181556</t>
  </si>
  <si>
    <t>LOVE260929181659</t>
  </si>
  <si>
    <t>LOVE260929181711</t>
  </si>
  <si>
    <t>LOVE260929182130</t>
  </si>
  <si>
    <t>6007497004249</t>
  </si>
  <si>
    <t>Spuds Sea Salt 23g</t>
  </si>
  <si>
    <t>LOVE260929182442</t>
  </si>
  <si>
    <t>5449000166050</t>
  </si>
  <si>
    <t>Stoney 2l</t>
  </si>
  <si>
    <t>6006117004171</t>
  </si>
  <si>
    <t>Colcom Beef Polony</t>
  </si>
  <si>
    <t>SYS-NYT</t>
  </si>
  <si>
    <t>EKWINIKA</t>
  </si>
  <si>
    <t>EVE260929184241</t>
  </si>
  <si>
    <t>EVE260929191808</t>
  </si>
  <si>
    <t>60098006200320</t>
  </si>
  <si>
    <t>Gregs Biltong Periperi 20g</t>
  </si>
  <si>
    <t>EVE260929192514</t>
  </si>
  <si>
    <t>EVE260929201435</t>
  </si>
  <si>
    <t>5449000010049</t>
  </si>
  <si>
    <t>Fanta Orange Pet 2lt</t>
  </si>
  <si>
    <t>EVE260929203438</t>
  </si>
  <si>
    <t>EVE260929205034</t>
  </si>
  <si>
    <t>6007552006058</t>
  </si>
  <si>
    <t>Charhons Loose 500g</t>
  </si>
  <si>
    <t>EVE260929210951</t>
  </si>
  <si>
    <t>EVE260929213037</t>
  </si>
  <si>
    <t>EVE260929215421</t>
  </si>
  <si>
    <t>EVE260929222643</t>
  </si>
  <si>
    <t>EVE260929223459</t>
  </si>
  <si>
    <t>EVE260929223529</t>
  </si>
  <si>
    <t>EVE260929225807</t>
  </si>
  <si>
    <t>EVE260930014220</t>
  </si>
  <si>
    <t>EVE260930020310</t>
  </si>
  <si>
    <t>EVE260930025440</t>
  </si>
  <si>
    <t>6009602270273</t>
  </si>
  <si>
    <t>Proton Cookies 1Kg</t>
  </si>
  <si>
    <t>LOVE260930072152</t>
  </si>
  <si>
    <t>LOVE260930072216</t>
  </si>
  <si>
    <t>6007497000517</t>
  </si>
  <si>
    <t>Spuds Spare Rib 75g</t>
  </si>
  <si>
    <t>6007265000251</t>
  </si>
  <si>
    <t>Lobels Marie 200g</t>
  </si>
  <si>
    <t>LOVE260930081133</t>
  </si>
  <si>
    <t>LOVE260930083911</t>
  </si>
  <si>
    <t>6162006608605</t>
  </si>
  <si>
    <t>Royco Chicken 50g</t>
  </si>
  <si>
    <t>LOVE260930084521</t>
  </si>
  <si>
    <t>LOVE260930084711</t>
  </si>
  <si>
    <t>LOVE260930085831</t>
  </si>
  <si>
    <t>LOVE260930090127</t>
  </si>
  <si>
    <t>LOVE260930093823</t>
  </si>
  <si>
    <t>6005964002910</t>
  </si>
  <si>
    <t>Pascall Milk Choc Small</t>
  </si>
  <si>
    <t>LOVE260930100326</t>
  </si>
  <si>
    <t>LOVE260930101512</t>
  </si>
  <si>
    <t>LOVE260930103019</t>
  </si>
  <si>
    <t>LOVE260930104818</t>
  </si>
  <si>
    <t>6009603060408</t>
  </si>
  <si>
    <t>Buttercup Margarine 250g</t>
  </si>
  <si>
    <t>LOVE260930111645</t>
  </si>
  <si>
    <t>LOVE260930113152</t>
  </si>
  <si>
    <t>A111</t>
  </si>
  <si>
    <t>RUSSIAN SAUSAGE</t>
  </si>
  <si>
    <t>LOVE260930113753</t>
  </si>
  <si>
    <t>6005572005464</t>
  </si>
  <si>
    <t>Fun N Fresh Mixed Fruit 1L</t>
  </si>
  <si>
    <t>LOVE260930113938</t>
  </si>
  <si>
    <t>6009711462675</t>
  </si>
  <si>
    <t>Revive Dairy Fruit Mix Tropical 500mls</t>
  </si>
  <si>
    <t>LOVE260930115248</t>
  </si>
  <si>
    <t>6007265001418</t>
  </si>
  <si>
    <t>Lobels Lemon Creams 150g</t>
  </si>
  <si>
    <t>6161107792145</t>
  </si>
  <si>
    <t>Cerevita Corn N Wheat</t>
  </si>
  <si>
    <t>LOVE260930120150</t>
  </si>
  <si>
    <t>6004842000802</t>
  </si>
  <si>
    <t>Cascade Orange 500ml</t>
  </si>
  <si>
    <t>0608037370808</t>
  </si>
  <si>
    <t>Vivon Water 1L</t>
  </si>
  <si>
    <t>LOVE260930120832</t>
  </si>
  <si>
    <t>LOVE260930122154</t>
  </si>
  <si>
    <t>LOVE260930123001</t>
  </si>
  <si>
    <t>5449000262417</t>
  </si>
  <si>
    <t>Mazoe Orange Crush 2l</t>
  </si>
  <si>
    <t>LOVE260930125400</t>
  </si>
  <si>
    <t>LOVE260930125527</t>
  </si>
  <si>
    <t>LOVE260930131902</t>
  </si>
  <si>
    <t>LOVE260930132017</t>
  </si>
  <si>
    <t>LOVE260930133225</t>
  </si>
  <si>
    <t>LOVE260930133633</t>
  </si>
  <si>
    <t>LOVE260930133910</t>
  </si>
  <si>
    <t>LOVE260930135036</t>
  </si>
  <si>
    <t>LOVE260930135708</t>
  </si>
  <si>
    <t>LOVE260930135931</t>
  </si>
  <si>
    <t>LOVE260930140046</t>
  </si>
  <si>
    <t>LOVE260930142757</t>
  </si>
  <si>
    <t>6007265000152</t>
  </si>
  <si>
    <t>LOB LEMON CREAMS 200g</t>
  </si>
  <si>
    <t>LOVE260930143442</t>
  </si>
  <si>
    <t>LOVE260930144106</t>
  </si>
  <si>
    <t>LOVE260930144352</t>
  </si>
  <si>
    <t>LOVE260930151923</t>
  </si>
  <si>
    <t>LOVE260930152054</t>
  </si>
  <si>
    <t>LOVE260930152252</t>
  </si>
  <si>
    <t>LOVE260930152801</t>
  </si>
  <si>
    <t>6007421003331</t>
  </si>
  <si>
    <t>BetterBuy Spag</t>
  </si>
  <si>
    <t>LOVE260930154604</t>
  </si>
  <si>
    <t>LOVE260930155915</t>
  </si>
  <si>
    <t>LOVE260930160221</t>
  </si>
  <si>
    <t>LOVE260930161154</t>
  </si>
  <si>
    <t>6009510806182</t>
  </si>
  <si>
    <t>Lays Spring Onion 105g</t>
  </si>
  <si>
    <t>6009800620153</t>
  </si>
  <si>
    <t>Eazy Salted Peanuts 60g</t>
  </si>
  <si>
    <t>LOVE260930161703</t>
  </si>
  <si>
    <t>0799793513001</t>
  </si>
  <si>
    <t>Chichi Peanut Butter 350ml</t>
  </si>
  <si>
    <t>LOVE260930163404</t>
  </si>
  <si>
    <t>LOVE260930163456</t>
  </si>
  <si>
    <t>LOVE260930163710</t>
  </si>
  <si>
    <t>LOVE260930164239</t>
  </si>
  <si>
    <t>LOVE260930165038</t>
  </si>
  <si>
    <t>LOVE260930170240</t>
  </si>
  <si>
    <t>LOVE260930171617</t>
  </si>
  <si>
    <t>LOVE260930172159</t>
  </si>
  <si>
    <t>LOVE260930172608</t>
  </si>
  <si>
    <t>LOVE260930174818</t>
  </si>
  <si>
    <t>LOVE260930175237</t>
  </si>
  <si>
    <t>6009537016687</t>
  </si>
  <si>
    <t>Crinkles Cheese 125g</t>
  </si>
  <si>
    <t>LOVE260930175732</t>
  </si>
  <si>
    <t>LOVE260930180122</t>
  </si>
  <si>
    <t>LOVE260930180553</t>
  </si>
  <si>
    <t>LOVE260930181543</t>
  </si>
  <si>
    <t>LOVE260930181737</t>
  </si>
  <si>
    <t>6009602270723</t>
  </si>
  <si>
    <t>PROTON COOKIES 130G</t>
  </si>
  <si>
    <t>LOVE260930181822</t>
  </si>
  <si>
    <t>LOVE260930183525</t>
  </si>
  <si>
    <t>LOVE260930183652</t>
  </si>
  <si>
    <t>LOVE260930183906</t>
  </si>
  <si>
    <t>LOVE260930183939</t>
  </si>
  <si>
    <t>6007421003508</t>
  </si>
  <si>
    <t>Red Seal Fine Salt 2kg</t>
  </si>
  <si>
    <t>LOVE260930183953</t>
  </si>
  <si>
    <t>LOVE260930191222</t>
  </si>
  <si>
    <t>LOVE260930192211</t>
  </si>
  <si>
    <t>LOVE260930193141</t>
  </si>
  <si>
    <t>EVE260930200131</t>
  </si>
  <si>
    <t>EVE260930200754</t>
  </si>
  <si>
    <t>EVE260930204336</t>
  </si>
  <si>
    <t>EVE260930204708</t>
  </si>
  <si>
    <t>EVE260930205418</t>
  </si>
  <si>
    <t>EVE260930205542</t>
  </si>
  <si>
    <t>EVE260930210504</t>
  </si>
  <si>
    <t>EVE260930212434</t>
  </si>
  <si>
    <t>6007497001095</t>
  </si>
  <si>
    <t>Korn Kurls 50g</t>
  </si>
  <si>
    <t>6009537016700</t>
  </si>
  <si>
    <t>Crinkles Fruit Chartney 125g</t>
  </si>
  <si>
    <t>EVE260930215223</t>
  </si>
  <si>
    <t>EVE260930223007</t>
  </si>
  <si>
    <t>EVE260930223356</t>
  </si>
  <si>
    <t>EVE260930232120</t>
  </si>
  <si>
    <t>6161107792374</t>
  </si>
  <si>
    <t>Cerevita Corn And Cocoa 500g</t>
  </si>
  <si>
    <t>EVE260930234555</t>
  </si>
  <si>
    <t>EVE260930234631</t>
  </si>
  <si>
    <t>EVE261001000712</t>
  </si>
  <si>
    <t>EVE261001000837</t>
  </si>
  <si>
    <t>6005572005495</t>
  </si>
  <si>
    <t>Fun N Fresh Orange And Mango 1L</t>
  </si>
  <si>
    <t>EVE261001002436</t>
  </si>
  <si>
    <t>EVE261001003119</t>
  </si>
  <si>
    <t>EVE261001004349</t>
  </si>
  <si>
    <t>EVE261001004950</t>
  </si>
  <si>
    <t>6009800620191</t>
  </si>
  <si>
    <t>Eazy Chill Peanuts 60g</t>
  </si>
  <si>
    <t>EVE261001005106</t>
  </si>
  <si>
    <t>EVE261001005252</t>
  </si>
  <si>
    <t>EVE261001005606</t>
  </si>
  <si>
    <t>EVE261001005900</t>
  </si>
  <si>
    <t>6009711324263</t>
  </si>
  <si>
    <t>Windmill Finger Vanilla</t>
  </si>
  <si>
    <t>EVE261001010035</t>
  </si>
  <si>
    <t>9556564707288</t>
  </si>
  <si>
    <t>Carex Zero Thin</t>
  </si>
  <si>
    <t>EVE261001010252</t>
  </si>
  <si>
    <t>EVE261001010313</t>
  </si>
  <si>
    <t>6918235678366</t>
  </si>
  <si>
    <t>Vivon 500ml</t>
  </si>
  <si>
    <t>EVE261001020926</t>
  </si>
  <si>
    <t>EVE261001021838</t>
  </si>
  <si>
    <t>EVE261001025744</t>
  </si>
  <si>
    <t>EVE261001065448</t>
  </si>
  <si>
    <t>LOVE261001071830</t>
  </si>
  <si>
    <t>6009661380210</t>
  </si>
  <si>
    <t>Huletts Brown Sugar 2kg</t>
  </si>
  <si>
    <t>LOVE261001073646</t>
  </si>
  <si>
    <t>LOVE261001075036</t>
  </si>
  <si>
    <t>6161107792367</t>
  </si>
  <si>
    <t>Cerevita Corn And Banana</t>
  </si>
  <si>
    <t>LOVE261001075155</t>
  </si>
  <si>
    <t>LOVE261001080339</t>
  </si>
  <si>
    <t>LOVE261001080624</t>
  </si>
  <si>
    <t>LOVE261001081458</t>
  </si>
  <si>
    <t>LOVE261001081806</t>
  </si>
  <si>
    <t>LOVE261001082114</t>
  </si>
  <si>
    <t>LOVE261001082249</t>
  </si>
  <si>
    <t>LOVE261001083027</t>
  </si>
  <si>
    <t>LOVE261001083253</t>
  </si>
  <si>
    <t>LOVE261001083412</t>
  </si>
  <si>
    <t>LOVE261001083531</t>
  </si>
  <si>
    <t>LOVE261001092222</t>
  </si>
  <si>
    <t>LOVE261001093324</t>
  </si>
  <si>
    <t>LOVE261001093946</t>
  </si>
  <si>
    <t>LOVE261001094344</t>
  </si>
  <si>
    <t>LOVE261001094932</t>
  </si>
  <si>
    <t>LOVE261001100949</t>
  </si>
  <si>
    <t>LOVE261001110019</t>
  </si>
  <si>
    <t>LOVE261001110939</t>
  </si>
  <si>
    <t>6007265000053</t>
  </si>
  <si>
    <t>Lob Loose 250g</t>
  </si>
  <si>
    <t>LOVE261001111211</t>
  </si>
  <si>
    <t>LOVE261001111820</t>
  </si>
  <si>
    <t>LOVE261001111933</t>
  </si>
  <si>
    <t>LOVE261001112029</t>
  </si>
  <si>
    <t>LOVE261001112645</t>
  </si>
  <si>
    <t>LOVE261001115148</t>
  </si>
  <si>
    <t>LOVE261001115433</t>
  </si>
  <si>
    <t>LOVE261001124743</t>
  </si>
  <si>
    <t>LOVE261001125037</t>
  </si>
  <si>
    <t>LOVE261001130857</t>
  </si>
  <si>
    <t>6009510806151</t>
  </si>
  <si>
    <t>Lays Carribean Onion 105g</t>
  </si>
  <si>
    <t>LOVE261001131132</t>
  </si>
  <si>
    <t>LOVE261001131446</t>
  </si>
  <si>
    <t>5449000017000</t>
  </si>
  <si>
    <t>Mazoe Raspberry 2l</t>
  </si>
  <si>
    <t>LOVE261001132611</t>
  </si>
  <si>
    <t>LOVE261001133300</t>
  </si>
  <si>
    <t>LOVE261001134010</t>
  </si>
  <si>
    <t>LOVE261001134855</t>
  </si>
  <si>
    <t>LOVE261001140143</t>
  </si>
  <si>
    <t>LOVE261001142450</t>
  </si>
  <si>
    <t>LOVE261001143053</t>
  </si>
  <si>
    <t>LOVE261001143233</t>
  </si>
  <si>
    <t>LOVE261001144545</t>
  </si>
  <si>
    <t>LOVE261001144622</t>
  </si>
  <si>
    <t>LOVE261001145600</t>
  </si>
  <si>
    <t>LOVE261001152801</t>
  </si>
  <si>
    <t>LOVE261001153136</t>
  </si>
  <si>
    <t>LOVE261001153653</t>
  </si>
  <si>
    <t>LOVE261001160316</t>
  </si>
  <si>
    <t>6004842000253</t>
  </si>
  <si>
    <t>Cascade Orange 1L</t>
  </si>
  <si>
    <t>LOVE261001161025</t>
  </si>
  <si>
    <t>LOVE261001161205</t>
  </si>
  <si>
    <t>LOVE261001162348</t>
  </si>
  <si>
    <t>LOVE261001162818</t>
  </si>
  <si>
    <t>LOVE261001163439</t>
  </si>
  <si>
    <t>LOVE261001163854</t>
  </si>
  <si>
    <t>LOVE261001164127</t>
  </si>
  <si>
    <t>LOVE261001165037</t>
  </si>
  <si>
    <t>LOVE261001165243</t>
  </si>
  <si>
    <t>LOVE261001170700</t>
  </si>
  <si>
    <t>LOVE261001172350</t>
  </si>
  <si>
    <t>6007497000982</t>
  </si>
  <si>
    <t>Chicken Flingz 50g</t>
  </si>
  <si>
    <t>LOVE261001172457</t>
  </si>
  <si>
    <t>LOVE261001175404</t>
  </si>
  <si>
    <t>LOVE261001180402</t>
  </si>
  <si>
    <t>LOVE261001180825</t>
  </si>
  <si>
    <t>LOVE261001182203</t>
  </si>
  <si>
    <t>9556564801009</t>
  </si>
  <si>
    <t>Carex Dotted</t>
  </si>
  <si>
    <t>LOVE261001183123</t>
  </si>
  <si>
    <t>LOVE261001184033</t>
  </si>
  <si>
    <t>EVE261001192022</t>
  </si>
  <si>
    <t>EVE261001193757</t>
  </si>
  <si>
    <t>EVE261001194052</t>
  </si>
  <si>
    <t>EVE261001194131</t>
  </si>
  <si>
    <t>6007265001838</t>
  </si>
  <si>
    <t>Lobels Cinnamon N Raisin 150g</t>
  </si>
  <si>
    <t>EVE261001200950</t>
  </si>
  <si>
    <t>EVE261001203102</t>
  </si>
  <si>
    <t>EVE261001203422</t>
  </si>
  <si>
    <t>EVE261001204239</t>
  </si>
  <si>
    <t>EVE261001204558</t>
  </si>
  <si>
    <t>EVE261001205003</t>
  </si>
  <si>
    <t>5449000180292</t>
  </si>
  <si>
    <t>Minute Maid Apple 1L</t>
  </si>
  <si>
    <t>EVE261001205335</t>
  </si>
  <si>
    <t>EVE261001205518</t>
  </si>
  <si>
    <t>EVE261001205755</t>
  </si>
  <si>
    <t>EVE261001210023</t>
  </si>
  <si>
    <t>EVE261001212012</t>
  </si>
  <si>
    <t>EVE261001212413</t>
  </si>
  <si>
    <t>EVE261001215113</t>
  </si>
  <si>
    <t>6002678003004</t>
  </si>
  <si>
    <t>Tomco Baked Beans 410g</t>
  </si>
  <si>
    <t>EVE261001223256</t>
  </si>
  <si>
    <t>EVE261001224107</t>
  </si>
  <si>
    <t>EVE261001225034</t>
  </si>
  <si>
    <t>EVE261001225719</t>
  </si>
  <si>
    <t>EVE261001230256</t>
  </si>
  <si>
    <t>EVE261001230329</t>
  </si>
  <si>
    <t>EVE261001230453</t>
  </si>
  <si>
    <t>EVE261001230635</t>
  </si>
  <si>
    <t>EVE261002005330</t>
  </si>
  <si>
    <t>EVE261002010851</t>
  </si>
  <si>
    <t>EVE261002012536</t>
  </si>
  <si>
    <t>EVE261002024209</t>
  </si>
  <si>
    <t>EVE261002030747</t>
  </si>
  <si>
    <t>EVE261002035614</t>
  </si>
  <si>
    <t>EVE261002041530</t>
  </si>
  <si>
    <t>EVE261002045811</t>
  </si>
  <si>
    <t>EVE261002065012</t>
  </si>
  <si>
    <t>LOVE261002074148</t>
  </si>
  <si>
    <t>6009657650945</t>
  </si>
  <si>
    <t>Dendairy Maas 500g</t>
  </si>
  <si>
    <t>LOVE261002075130</t>
  </si>
  <si>
    <t>LOVE261002080652</t>
  </si>
  <si>
    <t>LOVE261002081827</t>
  </si>
  <si>
    <t>LOVE261002081858</t>
  </si>
  <si>
    <t>LOVE261002082832</t>
  </si>
  <si>
    <t>LOVE261002090646</t>
  </si>
  <si>
    <t>LOVE261002090731</t>
  </si>
  <si>
    <t>LOVE261002092434</t>
  </si>
  <si>
    <t>6009644925476</t>
  </si>
  <si>
    <t>Crinkles 30g</t>
  </si>
  <si>
    <t>LOVE261002092516</t>
  </si>
  <si>
    <t>LOVE261002093157</t>
  </si>
  <si>
    <t>LOVE261002093552</t>
  </si>
  <si>
    <t>L1237</t>
  </si>
  <si>
    <t>Maputi Pack</t>
  </si>
  <si>
    <t>LOVE261002093900</t>
  </si>
  <si>
    <t>LOVE261002093958</t>
  </si>
  <si>
    <t>LOVE261002094937</t>
  </si>
  <si>
    <t>LOVE261002100830</t>
  </si>
  <si>
    <t>LOVE261002100914</t>
  </si>
  <si>
    <t>LOVE261002102259</t>
  </si>
  <si>
    <t>LOVE261002102604</t>
  </si>
  <si>
    <t>LOVE261002102726</t>
  </si>
  <si>
    <t>LOVE261002102757</t>
  </si>
  <si>
    <t>LOVE261002103252</t>
  </si>
  <si>
    <t>LOVE261002103833</t>
  </si>
  <si>
    <t>LOVE261002105359</t>
  </si>
  <si>
    <t>LOVE261002110647</t>
  </si>
  <si>
    <t>LOVE261002110851</t>
  </si>
  <si>
    <t>LOVE261002112406</t>
  </si>
  <si>
    <t>LOVE261002112922</t>
  </si>
  <si>
    <t>LOVE261002113345</t>
  </si>
  <si>
    <t>LOVE261002114611</t>
  </si>
  <si>
    <t>LOVE261002114633</t>
  </si>
  <si>
    <t>6009698813545</t>
  </si>
  <si>
    <t>Victoria Fruit Mango Orange</t>
  </si>
  <si>
    <t>LOVE261002114850</t>
  </si>
  <si>
    <t>LOVE261002115251</t>
  </si>
  <si>
    <t>LOVE261002115341</t>
  </si>
  <si>
    <t>LOVE261002120521</t>
  </si>
  <si>
    <t>6007265001333</t>
  </si>
  <si>
    <t>Lobels Custard Creams 150g</t>
  </si>
  <si>
    <t>LOVE261002121415</t>
  </si>
  <si>
    <t>LOVE261002123349</t>
  </si>
  <si>
    <t>LOVE261002124135</t>
  </si>
  <si>
    <t>LOVE261002133127</t>
  </si>
  <si>
    <t>LOVE261002133304</t>
  </si>
  <si>
    <t>LOVE261002133552</t>
  </si>
  <si>
    <t>LOVE261002133850</t>
  </si>
  <si>
    <t>LOVE261002134141</t>
  </si>
  <si>
    <t>LOVE261002134345</t>
  </si>
  <si>
    <t>LOVE261002134410</t>
  </si>
  <si>
    <t>LOVE261002135243</t>
  </si>
  <si>
    <t>LOVE261002140427</t>
  </si>
  <si>
    <t>LOVE261002140451</t>
  </si>
  <si>
    <t>LOVE261002140625</t>
  </si>
  <si>
    <t>LOVE261002140720</t>
  </si>
  <si>
    <t>LOVE261002140825</t>
  </si>
  <si>
    <t>LOVE261002142415</t>
  </si>
  <si>
    <t>LOVE261002143021</t>
  </si>
  <si>
    <t>LOVE261002143342</t>
  </si>
  <si>
    <t>LOVE261002145418</t>
  </si>
  <si>
    <t>LOVE261002150628</t>
  </si>
  <si>
    <t>LOVE261002151512</t>
  </si>
  <si>
    <t>LOVE261002153137</t>
  </si>
  <si>
    <t>LOVE261002153303</t>
  </si>
  <si>
    <t>LOVE261002155040</t>
  </si>
  <si>
    <t>LOVE261002155222</t>
  </si>
  <si>
    <t>LOVE261002160033</t>
  </si>
  <si>
    <t>LOVE261002160908</t>
  </si>
  <si>
    <t>LOVE261002162315</t>
  </si>
  <si>
    <t>LOVE261002162501</t>
  </si>
  <si>
    <t>LOVE261002162542</t>
  </si>
  <si>
    <t>LOVE261002162703</t>
  </si>
  <si>
    <t>LOVE261002162810</t>
  </si>
  <si>
    <t>LOVE261002163113</t>
  </si>
  <si>
    <t>LOVE261002164344</t>
  </si>
  <si>
    <t>LOVE261002180127</t>
  </si>
  <si>
    <t>600988856104</t>
  </si>
  <si>
    <t>Pepsi 500ml</t>
  </si>
  <si>
    <t>LOVE261002182338</t>
  </si>
  <si>
    <t>6001240550014</t>
  </si>
  <si>
    <t>Liqui Fruit Cranberry 1L</t>
  </si>
  <si>
    <t>LOVE261002183913</t>
  </si>
  <si>
    <t>LOVE261002184338</t>
  </si>
  <si>
    <t>5449000195456</t>
  </si>
  <si>
    <t>Minute Maid Tropical 1L</t>
  </si>
  <si>
    <t>LOVE261002184734</t>
  </si>
  <si>
    <t>LOVE261002184811</t>
  </si>
  <si>
    <t>EVE261002192613</t>
  </si>
  <si>
    <t>EVE261002195836</t>
  </si>
  <si>
    <t>EVE261002200735</t>
  </si>
  <si>
    <t>EVE261002201211</t>
  </si>
  <si>
    <t>EVE261002201455</t>
  </si>
  <si>
    <t>EVE261002210956</t>
  </si>
  <si>
    <t>EVE261002212643</t>
  </si>
  <si>
    <t>6009510807462</t>
  </si>
  <si>
    <t>Lays Thai Sweet Chill Flavour105g</t>
  </si>
  <si>
    <t>EVE261002212949</t>
  </si>
  <si>
    <t>EVE261002214357</t>
  </si>
  <si>
    <t>6007265001609</t>
  </si>
  <si>
    <t>Lob Marie Biscuits 150g</t>
  </si>
  <si>
    <t>EVE261002215147</t>
  </si>
  <si>
    <t>6005572002371</t>
  </si>
  <si>
    <t>Pfuko Buttermilk 500ml</t>
  </si>
  <si>
    <t>EVE261002223151</t>
  </si>
  <si>
    <t>EVE261002223726</t>
  </si>
  <si>
    <t>EVE261002224423</t>
  </si>
  <si>
    <t>EVE261002224742</t>
  </si>
  <si>
    <t>EVE261002225015</t>
  </si>
  <si>
    <t>EVE261002225223</t>
  </si>
  <si>
    <t>6009711324249</t>
  </si>
  <si>
    <t>Windmill Finger Chocolate</t>
  </si>
  <si>
    <t>EVE261002225600</t>
  </si>
  <si>
    <t>EVE261002225815</t>
  </si>
  <si>
    <t>EVE261002230445</t>
  </si>
  <si>
    <t>EVE261002230625</t>
  </si>
  <si>
    <t>EVE261002231016</t>
  </si>
  <si>
    <t>EVE261002232857</t>
  </si>
  <si>
    <t>EVE261002232950</t>
  </si>
  <si>
    <t>6009510806168</t>
  </si>
  <si>
    <t>Lays Salted 105g</t>
  </si>
  <si>
    <t>EVE261002233106</t>
  </si>
  <si>
    <t>EVE261002233135</t>
  </si>
  <si>
    <t>EVE261002233156</t>
  </si>
  <si>
    <t>EVE261003001442</t>
  </si>
  <si>
    <t>EVE261003001502</t>
  </si>
  <si>
    <t>EVE261003002232</t>
  </si>
  <si>
    <t>EVE261003020000</t>
  </si>
  <si>
    <t>EVE261003020933</t>
  </si>
  <si>
    <t>EVE261003021205</t>
  </si>
  <si>
    <t>EVE261003032933</t>
  </si>
  <si>
    <t>EVE261003033526</t>
  </si>
  <si>
    <t>EVE261003042104</t>
  </si>
  <si>
    <t>EVE261003043740</t>
  </si>
  <si>
    <t>EVE261003045624</t>
  </si>
  <si>
    <t>6009711462729</t>
  </si>
  <si>
    <t>Revive Buttermilk Maheu 500ml</t>
  </si>
  <si>
    <t>EVE261003051208</t>
  </si>
  <si>
    <t>6009510809015</t>
  </si>
  <si>
    <t>Lays Sweet And Smokey American120g</t>
  </si>
  <si>
    <t>EVE261003054231</t>
  </si>
  <si>
    <t>SALES BY ITEM BY DATE — SHIFT + CASHIER</t>
  </si>
  <si>
    <t>Scope: 29/09/2026 SYS-DAY through 01/10/2026 SYS-NYT. SYS-DAY = LOVE; SYS-NYT = EKWINIKA. The Slip# timestamp controls the actual receipt date/time for shift assignment.</t>
  </si>
  <si>
    <t>Scope Metric</t>
  </si>
  <si>
    <t>Value</t>
  </si>
  <si>
    <t>Line items in scope</t>
  </si>
  <si>
    <t>Units in scope</t>
  </si>
  <si>
    <t>Gross sales in scope</t>
  </si>
  <si>
    <t>Net sales in scope</t>
  </si>
  <si>
    <t>Avg Unit Price</t>
  </si>
  <si>
    <t>Net Sales</t>
  </si>
  <si>
    <t>TOTAL (requested shift scope)</t>
  </si>
  <si>
    <t>SHIFT VALIDATION / ASSIGNMENT</t>
  </si>
  <si>
    <t>Assigned Shift</t>
  </si>
  <si>
    <t>Observed Coverage</t>
  </si>
  <si>
    <t>Assignment Logic</t>
  </si>
  <si>
    <t>07:04–19:31 observed; no post-midnight rows</t>
  </si>
  <si>
    <t>Day cashier; shift date = actual receipt calendar date</t>
  </si>
  <si>
    <t>18:42–05:42 observed; early-morning rows continue the night shift</t>
  </si>
  <si>
    <t>Night cashier; before 18:00 is assigned to the previous evening's shift date</t>
  </si>
  <si>
    <t>Date / handover handling</t>
  </si>
  <si>
    <t>The PDF Date column is visibly inconsistent after midnight: some rows show the prior calendar date while the Slip# carries the following date. The workbook keeps the PDF Date/Time unchanged in Sales Data, but uses the Slip# timestamp for the canonical Receipt DateTime. Cashier identity then validates the shift, so early-morning EKWINIKA sales stay with SYS-NYT rather than becoming SYS-DAY.</t>
  </si>
  <si>
    <t>PDF Source Check</t>
  </si>
  <si>
    <t>Expected</t>
  </si>
  <si>
    <t>Workbook</t>
  </si>
  <si>
    <t>Status</t>
  </si>
  <si>
    <t>Line items</t>
  </si>
  <si>
    <t>Requested Scope Check</t>
  </si>
  <si>
    <t>Python Extraction</t>
  </si>
  <si>
    <t>Workbook Formula</t>
  </si>
  <si>
    <t>Units</t>
  </si>
  <si>
    <t>All item names are copied exactly as printed in Part 2; no renaming, correction, or normalization was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</si>
</sst>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0000000"/>
    <numFmt numFmtId="165" formatCode="yyyy\-mm\-dd\ hh:mm:ss"/>
    <numFmt numFmtId="166" formatCode="yyyy\-mm\-dd"/>
  </numFmts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2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" fontId="3" fillId="5" borderId="0" xfId="0" applyNumberFormat="1" applyFont="1" applyFill="1" applyBorder="1"/>
    <xf numFmtId="2" fontId="3" fillId="5" borderId="0" xfId="0" applyNumberFormat="1" applyFont="1" applyFill="1" applyBorder="1"/>
    <xf numFmtId="2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/>
    <xf numFmtId="0" fontId="3" fillId="6" borderId="0" xfId="0" applyNumberFormat="1" applyFont="1" applyFill="1" applyBorder="1" applyAlignment="1">
      <alignment wrapText="1"/>
    </xf>
    <xf numFmtId="0" fontId="3" fillId="6" borderId="0" xfId="0" applyNumberFormat="1" applyFont="1" applyFill="1" applyBorder="1"/>
    <xf numFmtId="0" fontId="0" fillId="7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alesDataTable" displayName="SalesDataTable" ref="A4:V760" totalsRowShown="0">
  <tableColumns count="22">
    <tableColumn id="1" name="Line #"/>
    <tableColumn id="2" name="Receipt DateTime"/>
    <tableColumn id="3" name="PDF Date"/>
    <tableColumn id="4" name="PDF Time"/>
    <tableColumn id="5" name="Shift Date"/>
    <tableColumn id="6" name="Shift"/>
    <tableColumn id="7" name="Cashier"/>
    <tableColumn id="8" name="Department"/>
    <tableColumn id="9" name="Type"/>
    <tableColumn id="10" name="Currency"/>
    <tableColumn id="11" name="Slip#"/>
    <tableColumn id="12" name="Item Code"/>
    <tableColumn id="13" name="Item Name"/>
    <tableColumn id="14" name="Unit Price"/>
    <tableColumn id="15" name="Qty"/>
    <tableColumn id="16" name="Gross"/>
    <tableColumn id="17" name="Disc"/>
    <tableColumn id="18" name="VAT"/>
    <tableColumn id="19" name="G.Profit"/>
    <tableColumn id="20" name="Net Price"/>
    <tableColumn id="21" name="Part 1 Page"/>
    <tableColumn id="22" name="Part 2 P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ByItemDateTable" displayName="SalesByItemDateTable" ref="A10:J250" totalsRowShown="0">
  <tableColumns count="10">
    <tableColumn id="1" name="Shift Date"/>
    <tableColumn id="2" name="Shift"/>
    <tableColumn id="5" name="Item Name"/>
    <tableColumn id="6" name="Qty"/>
    <tableColumn id="7" name="Avg Unit Price"/>
    <tableColumn id="8" name="Gross"/>
    <tableColumn id="9" name="Disc"/>
    <tableColumn id="10" name="VAT"/>
    <tableColumn id="11" name="G.Profit"/>
    <tableColumn id="12" name="Net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0"/>
  <sheetViews>
    <sheetView workbookViewId="0"/>
  </sheetViews>
  <sheetFormatPr defaultRowHeight="14.25"/>
  <cols>
    <col min="1" max="1" width="8" customWidth="1"/>
    <col min="2" max="2" width="20" customWidth="1"/>
    <col min="3" max="3" width="12" customWidth="1"/>
    <col min="4" max="4" width="10" customWidth="1"/>
    <col min="5" max="5" width="12" customWidth="1"/>
    <col min="6" max="6" width="11" customWidth="1"/>
    <col min="7" max="8" width="12" customWidth="1"/>
    <col min="9" max="9" width="9" customWidth="1"/>
    <col min="10" max="10" width="10" customWidth="1"/>
    <col min="11" max="11" width="20" customWidth="1"/>
    <col min="12" max="12" width="16" customWidth="1"/>
    <col min="13" max="13" width="38" customWidth="1"/>
    <col min="14" max="14" width="11" customWidth="1"/>
    <col min="15" max="15" width="8" customWidth="1"/>
    <col min="16" max="16" width="11" customWidth="1"/>
    <col min="17" max="18" width="9" customWidth="1"/>
    <col min="19" max="19" width="12" customWidth="1"/>
    <col min="20" max="20" width="11" customWidth="1"/>
    <col min="21" max="22" width="12" customWidth="1"/>
  </cols>
  <sheetData>
    <row r="1" spans="1:22" ht="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4" spans="1:22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>
      <c r="A5">
        <v>1</v>
      </c>
      <c r="B5" s="4">
        <v>46294.294861111113</v>
      </c>
      <c r="C5" s="5">
        <v>46294</v>
      </c>
      <c r="D5" s="6">
        <v>2.2948495370370372</v>
      </c>
      <c r="E5" s="5">
        <v>46294</v>
      </c>
      <c r="F5" t="s">
        <v>24</v>
      </c>
      <c r="G5" t="s">
        <v>25</v>
      </c>
      <c r="H5" t="s">
        <v>26</v>
      </c>
      <c r="I5" t="s">
        <v>27</v>
      </c>
      <c r="J5" t="s">
        <v>27</v>
      </c>
      <c r="K5" t="s">
        <v>28</v>
      </c>
      <c r="L5" s="2" t="s">
        <v>29</v>
      </c>
      <c r="M5" s="8" t="s">
        <v>30</v>
      </c>
      <c r="N5" s="7">
        <v>0.81</v>
      </c>
      <c r="O5" s="2">
        <v>1</v>
      </c>
      <c r="P5" s="7">
        <v>0.81</v>
      </c>
      <c r="Q5" s="7">
        <v>0</v>
      </c>
      <c r="R5" s="7">
        <v>0.13</v>
      </c>
      <c r="S5" s="7">
        <v>0.43</v>
      </c>
      <c r="T5" s="7">
        <v>0.94</v>
      </c>
    </row>
    <row r="6" spans="1:22">
      <c r="A6">
        <v>2</v>
      </c>
      <c r="B6" s="4">
        <v>46294.315844907411</v>
      </c>
      <c r="C6" s="5">
        <v>46294</v>
      </c>
      <c r="D6" s="6">
        <v>2.3158449074074072</v>
      </c>
      <c r="E6" s="5">
        <v>46294</v>
      </c>
      <c r="F6" t="s">
        <v>24</v>
      </c>
      <c r="G6" t="s">
        <v>25</v>
      </c>
      <c r="H6" t="s">
        <v>26</v>
      </c>
      <c r="I6" t="s">
        <v>27</v>
      </c>
      <c r="J6" t="s">
        <v>27</v>
      </c>
      <c r="K6" t="s">
        <v>31</v>
      </c>
      <c r="L6" s="2" t="s">
        <v>32</v>
      </c>
      <c r="M6" s="8" t="s">
        <v>33</v>
      </c>
      <c r="N6" s="7">
        <v>2.16</v>
      </c>
      <c r="O6" s="2">
        <v>1</v>
      </c>
      <c r="P6" s="7">
        <v>2.16</v>
      </c>
      <c r="Q6" s="7">
        <v>0</v>
      </c>
      <c r="R6" s="7">
        <v>0.34</v>
      </c>
      <c r="S6" s="7">
        <v>2.09</v>
      </c>
      <c r="T6" s="7">
        <v>2.5</v>
      </c>
    </row>
    <row r="7" spans="1:22">
      <c r="A7">
        <v>3</v>
      </c>
      <c r="B7" s="4">
        <v>46294.33425925926</v>
      </c>
      <c r="C7" s="5">
        <v>46294</v>
      </c>
      <c r="D7" s="6">
        <v>2.3342592592592593</v>
      </c>
      <c r="E7" s="5">
        <v>46294</v>
      </c>
      <c r="F7" t="s">
        <v>24</v>
      </c>
      <c r="G7" t="s">
        <v>25</v>
      </c>
      <c r="H7" t="s">
        <v>26</v>
      </c>
      <c r="I7" t="s">
        <v>27</v>
      </c>
      <c r="J7" t="s">
        <v>27</v>
      </c>
      <c r="K7" t="s">
        <v>34</v>
      </c>
      <c r="L7" s="2" t="s">
        <v>35</v>
      </c>
      <c r="M7" s="8" t="s">
        <v>36</v>
      </c>
      <c r="N7" s="7">
        <v>0.81</v>
      </c>
      <c r="O7" s="2">
        <v>1</v>
      </c>
      <c r="P7" s="7">
        <v>0.81</v>
      </c>
      <c r="Q7" s="7">
        <v>0</v>
      </c>
      <c r="R7" s="7">
        <v>0.13</v>
      </c>
      <c r="S7" s="7">
        <v>0.38</v>
      </c>
      <c r="T7" s="7">
        <v>0.94</v>
      </c>
    </row>
    <row r="8" spans="1:22">
      <c r="A8">
        <v>4</v>
      </c>
      <c r="B8" s="4">
        <v>46294.344895833332</v>
      </c>
      <c r="C8" s="5">
        <v>46294</v>
      </c>
      <c r="D8" s="6">
        <v>2.3448842592592594</v>
      </c>
      <c r="E8" s="5">
        <v>46294</v>
      </c>
      <c r="F8" t="s">
        <v>24</v>
      </c>
      <c r="G8" t="s">
        <v>25</v>
      </c>
      <c r="H8" t="s">
        <v>26</v>
      </c>
      <c r="I8" t="s">
        <v>27</v>
      </c>
      <c r="J8" t="s">
        <v>27</v>
      </c>
      <c r="K8" t="s">
        <v>37</v>
      </c>
      <c r="L8" s="2" t="s">
        <v>38</v>
      </c>
      <c r="M8" s="8" t="s">
        <v>39</v>
      </c>
      <c r="N8" s="7">
        <v>0.03</v>
      </c>
      <c r="O8" s="2">
        <v>10</v>
      </c>
      <c r="P8" s="7">
        <v>0.3</v>
      </c>
      <c r="Q8" s="7">
        <v>0</v>
      </c>
      <c r="R8" s="7">
        <v>0.04</v>
      </c>
      <c r="S8" s="7">
        <v>0.1</v>
      </c>
      <c r="T8" s="7">
        <v>0.34</v>
      </c>
    </row>
    <row r="9" spans="1:22">
      <c r="A9">
        <v>5</v>
      </c>
      <c r="B9" s="4">
        <v>46294.351099537038</v>
      </c>
      <c r="C9" s="5">
        <v>46294</v>
      </c>
      <c r="D9" s="6">
        <v>2.3510995370370371</v>
      </c>
      <c r="E9" s="5">
        <v>46294</v>
      </c>
      <c r="F9" t="s">
        <v>24</v>
      </c>
      <c r="G9" t="s">
        <v>25</v>
      </c>
      <c r="H9" t="s">
        <v>26</v>
      </c>
      <c r="I9" t="s">
        <v>27</v>
      </c>
      <c r="J9" t="s">
        <v>27</v>
      </c>
      <c r="K9" t="s">
        <v>40</v>
      </c>
      <c r="L9" s="2" t="s">
        <v>41</v>
      </c>
      <c r="M9" s="8" t="s">
        <v>42</v>
      </c>
      <c r="N9" s="7">
        <v>4.87</v>
      </c>
      <c r="O9" s="2">
        <v>1</v>
      </c>
      <c r="P9" s="7">
        <v>4.87</v>
      </c>
      <c r="Q9" s="7">
        <v>0</v>
      </c>
      <c r="R9" s="7">
        <v>0.76</v>
      </c>
      <c r="S9" s="7">
        <v>1</v>
      </c>
      <c r="T9" s="7">
        <v>5.63</v>
      </c>
    </row>
    <row r="10" spans="1:22">
      <c r="A10">
        <v>6</v>
      </c>
      <c r="B10" s="4">
        <v>46294.351099537038</v>
      </c>
      <c r="C10" s="5">
        <v>46294</v>
      </c>
      <c r="D10" s="6">
        <v>2.351238425925926</v>
      </c>
      <c r="E10" s="5">
        <v>46294</v>
      </c>
      <c r="F10" t="s">
        <v>24</v>
      </c>
      <c r="G10" t="s">
        <v>25</v>
      </c>
      <c r="H10" t="s">
        <v>26</v>
      </c>
      <c r="I10" t="s">
        <v>27</v>
      </c>
      <c r="J10" t="s">
        <v>27</v>
      </c>
      <c r="K10" t="s">
        <v>40</v>
      </c>
      <c r="L10" s="2" t="s">
        <v>43</v>
      </c>
      <c r="M10" s="8" t="s">
        <v>44</v>
      </c>
      <c r="N10" s="7">
        <v>2.19</v>
      </c>
      <c r="O10" s="2">
        <v>1</v>
      </c>
      <c r="P10" s="7">
        <v>2.19</v>
      </c>
      <c r="Q10" s="7">
        <v>0</v>
      </c>
      <c r="R10" s="7">
        <v>0</v>
      </c>
      <c r="S10" s="7">
        <v>0.56999999999999995</v>
      </c>
      <c r="T10" s="7">
        <v>2.19</v>
      </c>
    </row>
    <row r="11" spans="1:22">
      <c r="A11">
        <v>7</v>
      </c>
      <c r="B11" s="4">
        <v>46294.351099537038</v>
      </c>
      <c r="C11" s="5">
        <v>46294</v>
      </c>
      <c r="D11" s="6">
        <v>2.3514699074074072</v>
      </c>
      <c r="E11" s="5">
        <v>46294</v>
      </c>
      <c r="F11" t="s">
        <v>24</v>
      </c>
      <c r="G11" t="s">
        <v>25</v>
      </c>
      <c r="H11" t="s">
        <v>26</v>
      </c>
      <c r="I11" t="s">
        <v>27</v>
      </c>
      <c r="J11" t="s">
        <v>27</v>
      </c>
      <c r="K11" t="s">
        <v>40</v>
      </c>
      <c r="L11" s="2" t="s">
        <v>45</v>
      </c>
      <c r="M11" s="8" t="s">
        <v>46</v>
      </c>
      <c r="N11" s="7">
        <v>0.75</v>
      </c>
      <c r="O11" s="2">
        <v>1</v>
      </c>
      <c r="P11" s="7">
        <v>0.75</v>
      </c>
      <c r="Q11" s="7">
        <v>0</v>
      </c>
      <c r="R11" s="7">
        <v>0</v>
      </c>
      <c r="S11" s="7">
        <v>0.34</v>
      </c>
      <c r="T11" s="7">
        <v>0.75</v>
      </c>
    </row>
    <row r="12" spans="1:22">
      <c r="A12">
        <v>8</v>
      </c>
      <c r="B12" s="4">
        <v>46294.351099537038</v>
      </c>
      <c r="C12" s="5">
        <v>46294</v>
      </c>
      <c r="D12" s="6">
        <v>2.3532754629629631</v>
      </c>
      <c r="E12" s="5">
        <v>46294</v>
      </c>
      <c r="F12" t="s">
        <v>24</v>
      </c>
      <c r="G12" t="s">
        <v>25</v>
      </c>
      <c r="H12" t="s">
        <v>26</v>
      </c>
      <c r="I12" t="s">
        <v>27</v>
      </c>
      <c r="J12" t="s">
        <v>27</v>
      </c>
      <c r="K12" t="s">
        <v>40</v>
      </c>
      <c r="L12" s="2" t="s">
        <v>47</v>
      </c>
      <c r="M12" s="8" t="s">
        <v>48</v>
      </c>
      <c r="N12" s="7">
        <v>0.05</v>
      </c>
      <c r="O12" s="2">
        <v>10</v>
      </c>
      <c r="P12" s="7">
        <v>0.5</v>
      </c>
      <c r="Q12" s="7">
        <v>0</v>
      </c>
      <c r="R12" s="7">
        <v>0.08</v>
      </c>
      <c r="S12" s="7">
        <v>0.23</v>
      </c>
      <c r="T12" s="7">
        <v>0.57999999999999996</v>
      </c>
    </row>
    <row r="13" spans="1:22">
      <c r="A13">
        <v>9</v>
      </c>
      <c r="B13" s="4">
        <v>46294.353819444441</v>
      </c>
      <c r="C13" s="5">
        <v>46294</v>
      </c>
      <c r="D13" s="6">
        <v>2.3538078703703702</v>
      </c>
      <c r="E13" s="5">
        <v>46294</v>
      </c>
      <c r="F13" t="s">
        <v>24</v>
      </c>
      <c r="G13" t="s">
        <v>25</v>
      </c>
      <c r="H13" t="s">
        <v>26</v>
      </c>
      <c r="I13" t="s">
        <v>27</v>
      </c>
      <c r="J13" t="s">
        <v>27</v>
      </c>
      <c r="K13" t="s">
        <v>49</v>
      </c>
      <c r="L13" s="2" t="s">
        <v>50</v>
      </c>
      <c r="M13" s="8" t="s">
        <v>51</v>
      </c>
      <c r="N13" s="7">
        <v>0.43</v>
      </c>
      <c r="O13" s="2">
        <v>1</v>
      </c>
      <c r="P13" s="7">
        <v>0.43</v>
      </c>
      <c r="Q13" s="7">
        <v>0</v>
      </c>
      <c r="R13" s="7">
        <v>7.0000000000000007E-2</v>
      </c>
      <c r="S13" s="7">
        <v>0.41</v>
      </c>
      <c r="T13" s="7">
        <v>0.5</v>
      </c>
    </row>
    <row r="14" spans="1:22">
      <c r="A14">
        <v>10</v>
      </c>
      <c r="B14" s="4">
        <v>46294.359791666669</v>
      </c>
      <c r="C14" s="5">
        <v>46294</v>
      </c>
      <c r="D14" s="6">
        <v>2.3597916666666667</v>
      </c>
      <c r="E14" s="5">
        <v>46294</v>
      </c>
      <c r="F14" t="s">
        <v>24</v>
      </c>
      <c r="G14" t="s">
        <v>25</v>
      </c>
      <c r="H14" t="s">
        <v>26</v>
      </c>
      <c r="I14" t="s">
        <v>27</v>
      </c>
      <c r="J14" t="s">
        <v>27</v>
      </c>
      <c r="K14" t="s">
        <v>52</v>
      </c>
      <c r="L14" s="2" t="s">
        <v>53</v>
      </c>
      <c r="M14" s="8" t="s">
        <v>54</v>
      </c>
      <c r="N14" s="7">
        <v>0.38</v>
      </c>
      <c r="O14" s="2">
        <v>1</v>
      </c>
      <c r="P14" s="7">
        <v>0.38</v>
      </c>
      <c r="Q14" s="7">
        <v>0</v>
      </c>
      <c r="R14" s="7">
        <v>0.06</v>
      </c>
      <c r="S14" s="7">
        <v>0.3</v>
      </c>
      <c r="T14" s="7">
        <v>0.44</v>
      </c>
    </row>
    <row r="15" spans="1:22">
      <c r="A15">
        <v>11</v>
      </c>
      <c r="B15" s="4">
        <v>46294.363506944443</v>
      </c>
      <c r="C15" s="5">
        <v>46294</v>
      </c>
      <c r="D15" s="6">
        <v>2.3634953703703703</v>
      </c>
      <c r="E15" s="5">
        <v>46294</v>
      </c>
      <c r="F15" t="s">
        <v>24</v>
      </c>
      <c r="G15" t="s">
        <v>25</v>
      </c>
      <c r="H15" t="s">
        <v>26</v>
      </c>
      <c r="I15" t="s">
        <v>27</v>
      </c>
      <c r="J15" t="s">
        <v>27</v>
      </c>
      <c r="K15" t="s">
        <v>55</v>
      </c>
      <c r="L15" s="2" t="s">
        <v>56</v>
      </c>
      <c r="M15" s="8" t="s">
        <v>57</v>
      </c>
      <c r="N15" s="7">
        <v>0.27</v>
      </c>
      <c r="O15" s="2">
        <v>3</v>
      </c>
      <c r="P15" s="7">
        <v>0.81</v>
      </c>
      <c r="Q15" s="7">
        <v>0</v>
      </c>
      <c r="R15" s="7">
        <v>0.12</v>
      </c>
      <c r="S15" s="7">
        <v>0.56999999999999995</v>
      </c>
      <c r="T15" s="7">
        <v>0.93</v>
      </c>
    </row>
    <row r="16" spans="1:22">
      <c r="A16">
        <v>12</v>
      </c>
      <c r="B16" s="4">
        <v>46294.367719907408</v>
      </c>
      <c r="C16" s="5">
        <v>46294</v>
      </c>
      <c r="D16" s="6">
        <v>2.3677199074074076</v>
      </c>
      <c r="E16" s="5">
        <v>46294</v>
      </c>
      <c r="F16" t="s">
        <v>24</v>
      </c>
      <c r="G16" t="s">
        <v>25</v>
      </c>
      <c r="H16" t="s">
        <v>26</v>
      </c>
      <c r="I16" t="s">
        <v>27</v>
      </c>
      <c r="J16" t="s">
        <v>27</v>
      </c>
      <c r="K16" t="s">
        <v>58</v>
      </c>
      <c r="L16" s="2" t="s">
        <v>56</v>
      </c>
      <c r="M16" s="8" t="s">
        <v>57</v>
      </c>
      <c r="N16" s="7">
        <v>0.27</v>
      </c>
      <c r="O16" s="2">
        <v>2</v>
      </c>
      <c r="P16" s="7">
        <v>0.54</v>
      </c>
      <c r="Q16" s="7">
        <v>0</v>
      </c>
      <c r="R16" s="7">
        <v>0.08</v>
      </c>
      <c r="S16" s="7">
        <v>0.38</v>
      </c>
      <c r="T16" s="7">
        <v>0.62</v>
      </c>
    </row>
    <row r="17" spans="1:20">
      <c r="A17">
        <v>13</v>
      </c>
      <c r="B17" s="4">
        <v>46294.367719907408</v>
      </c>
      <c r="C17" s="5">
        <v>46294</v>
      </c>
      <c r="D17" s="6">
        <v>2.3677893518518518</v>
      </c>
      <c r="E17" s="5">
        <v>46294</v>
      </c>
      <c r="F17" t="s">
        <v>24</v>
      </c>
      <c r="G17" t="s">
        <v>25</v>
      </c>
      <c r="H17" t="s">
        <v>26</v>
      </c>
      <c r="I17" t="s">
        <v>27</v>
      </c>
      <c r="J17" t="s">
        <v>27</v>
      </c>
      <c r="K17" t="s">
        <v>58</v>
      </c>
      <c r="L17" s="2" t="s">
        <v>59</v>
      </c>
      <c r="M17" s="8" t="s">
        <v>60</v>
      </c>
      <c r="N17" s="7">
        <v>0.31</v>
      </c>
      <c r="O17" s="2">
        <v>2</v>
      </c>
      <c r="P17" s="7">
        <v>0.62</v>
      </c>
      <c r="Q17" s="7">
        <v>0</v>
      </c>
      <c r="R17" s="7">
        <v>0</v>
      </c>
      <c r="S17" s="7">
        <v>0.6</v>
      </c>
      <c r="T17" s="7">
        <v>0.62</v>
      </c>
    </row>
    <row r="18" spans="1:20">
      <c r="A18">
        <v>14</v>
      </c>
      <c r="B18" s="4">
        <v>46294.369664351849</v>
      </c>
      <c r="C18" s="5">
        <v>46294</v>
      </c>
      <c r="D18" s="6">
        <v>2.3696643518518519</v>
      </c>
      <c r="E18" s="5">
        <v>46294</v>
      </c>
      <c r="F18" t="s">
        <v>24</v>
      </c>
      <c r="G18" t="s">
        <v>25</v>
      </c>
      <c r="H18" t="s">
        <v>26</v>
      </c>
      <c r="I18" t="s">
        <v>27</v>
      </c>
      <c r="J18" t="s">
        <v>27</v>
      </c>
      <c r="K18" t="s">
        <v>61</v>
      </c>
      <c r="L18" s="2" t="s">
        <v>47</v>
      </c>
      <c r="M18" s="8" t="s">
        <v>48</v>
      </c>
      <c r="N18" s="7">
        <v>0.05</v>
      </c>
      <c r="O18" s="2">
        <v>1</v>
      </c>
      <c r="P18" s="7">
        <v>0.05</v>
      </c>
      <c r="Q18" s="7">
        <v>0</v>
      </c>
      <c r="R18" s="7">
        <v>0.01</v>
      </c>
      <c r="S18" s="7">
        <v>0.02</v>
      </c>
      <c r="T18" s="7">
        <v>0.06</v>
      </c>
    </row>
    <row r="19" spans="1:20">
      <c r="A19">
        <v>15</v>
      </c>
      <c r="B19" s="4">
        <v>46294.36990740741</v>
      </c>
      <c r="C19" s="5">
        <v>46294</v>
      </c>
      <c r="D19" s="6">
        <v>2.3699074074074074</v>
      </c>
      <c r="E19" s="5">
        <v>46294</v>
      </c>
      <c r="F19" t="s">
        <v>24</v>
      </c>
      <c r="G19" t="s">
        <v>25</v>
      </c>
      <c r="H19" t="s">
        <v>26</v>
      </c>
      <c r="I19" t="s">
        <v>27</v>
      </c>
      <c r="J19" t="s">
        <v>27</v>
      </c>
      <c r="K19" t="s">
        <v>62</v>
      </c>
      <c r="L19" s="2" t="s">
        <v>63</v>
      </c>
      <c r="M19" s="8" t="s">
        <v>64</v>
      </c>
      <c r="N19" s="7">
        <v>1.9</v>
      </c>
      <c r="O19" s="2">
        <v>1</v>
      </c>
      <c r="P19" s="7">
        <v>1.9</v>
      </c>
      <c r="Q19" s="7">
        <v>0</v>
      </c>
      <c r="R19" s="7">
        <v>0.28999999999999998</v>
      </c>
      <c r="S19" s="7">
        <v>1.83</v>
      </c>
      <c r="T19" s="7">
        <v>2.19</v>
      </c>
    </row>
    <row r="20" spans="1:20">
      <c r="A20">
        <v>16</v>
      </c>
      <c r="B20" s="4">
        <v>46294.372430555559</v>
      </c>
      <c r="C20" s="5">
        <v>46294</v>
      </c>
      <c r="D20" s="6">
        <v>2.3732291666666665</v>
      </c>
      <c r="E20" s="5">
        <v>46294</v>
      </c>
      <c r="F20" t="s">
        <v>24</v>
      </c>
      <c r="G20" t="s">
        <v>25</v>
      </c>
      <c r="H20" t="s">
        <v>26</v>
      </c>
      <c r="I20" t="s">
        <v>27</v>
      </c>
      <c r="J20" t="s">
        <v>27</v>
      </c>
      <c r="K20" t="s">
        <v>65</v>
      </c>
      <c r="L20" s="2" t="s">
        <v>66</v>
      </c>
      <c r="M20" s="8" t="s">
        <v>67</v>
      </c>
      <c r="N20" s="7">
        <v>2.19</v>
      </c>
      <c r="O20" s="2">
        <v>1</v>
      </c>
      <c r="P20" s="7">
        <v>2.19</v>
      </c>
      <c r="Q20" s="7">
        <v>0</v>
      </c>
      <c r="R20" s="7">
        <v>0</v>
      </c>
      <c r="S20" s="7">
        <v>2.1</v>
      </c>
      <c r="T20" s="7">
        <v>2.19</v>
      </c>
    </row>
    <row r="21" spans="1:20">
      <c r="A21">
        <v>17</v>
      </c>
      <c r="B21" s="4">
        <v>46294.372430555559</v>
      </c>
      <c r="C21" s="5">
        <v>46294</v>
      </c>
      <c r="D21" s="6">
        <v>2.3732291666666665</v>
      </c>
      <c r="E21" s="5">
        <v>46294</v>
      </c>
      <c r="F21" t="s">
        <v>24</v>
      </c>
      <c r="G21" t="s">
        <v>25</v>
      </c>
      <c r="H21" t="s">
        <v>26</v>
      </c>
      <c r="I21" t="s">
        <v>27</v>
      </c>
      <c r="J21" t="s">
        <v>27</v>
      </c>
      <c r="K21" t="s">
        <v>65</v>
      </c>
      <c r="L21" s="2" t="s">
        <v>68</v>
      </c>
      <c r="M21" s="8" t="s">
        <v>69</v>
      </c>
      <c r="N21" s="7">
        <v>1.63</v>
      </c>
      <c r="O21" s="2">
        <v>1</v>
      </c>
      <c r="P21" s="7">
        <v>1.63</v>
      </c>
      <c r="Q21" s="7">
        <v>0</v>
      </c>
      <c r="R21" s="7">
        <v>0.25</v>
      </c>
      <c r="S21" s="7">
        <v>0.17</v>
      </c>
      <c r="T21" s="7">
        <v>1.88</v>
      </c>
    </row>
    <row r="22" spans="1:20">
      <c r="A22">
        <v>18</v>
      </c>
      <c r="B22" s="4">
        <v>46294.372430555559</v>
      </c>
      <c r="C22" s="5">
        <v>46294</v>
      </c>
      <c r="D22" s="6">
        <v>2.3732986111111112</v>
      </c>
      <c r="E22" s="5">
        <v>46294</v>
      </c>
      <c r="F22" t="s">
        <v>24</v>
      </c>
      <c r="G22" t="s">
        <v>25</v>
      </c>
      <c r="H22" t="s">
        <v>26</v>
      </c>
      <c r="I22" t="s">
        <v>27</v>
      </c>
      <c r="J22" t="s">
        <v>27</v>
      </c>
      <c r="K22" t="s">
        <v>65</v>
      </c>
      <c r="L22" s="2" t="s">
        <v>29</v>
      </c>
      <c r="M22" s="8" t="s">
        <v>30</v>
      </c>
      <c r="N22" s="7">
        <v>0.81</v>
      </c>
      <c r="O22" s="2">
        <v>1</v>
      </c>
      <c r="P22" s="7">
        <v>0.81</v>
      </c>
      <c r="Q22" s="7">
        <v>0</v>
      </c>
      <c r="R22" s="7">
        <v>0.13</v>
      </c>
      <c r="S22" s="7">
        <v>0.43</v>
      </c>
      <c r="T22" s="7">
        <v>0.94</v>
      </c>
    </row>
    <row r="23" spans="1:20">
      <c r="A23">
        <v>19</v>
      </c>
      <c r="B23" s="4">
        <v>46294.373784722222</v>
      </c>
      <c r="C23" s="5">
        <v>46294</v>
      </c>
      <c r="D23" s="6">
        <v>2.3737847222222221</v>
      </c>
      <c r="E23" s="5">
        <v>46294</v>
      </c>
      <c r="F23" t="s">
        <v>24</v>
      </c>
      <c r="G23" t="s">
        <v>25</v>
      </c>
      <c r="H23" t="s">
        <v>26</v>
      </c>
      <c r="I23" t="s">
        <v>27</v>
      </c>
      <c r="J23" t="s">
        <v>27</v>
      </c>
      <c r="K23" t="s">
        <v>70</v>
      </c>
      <c r="L23" s="2" t="s">
        <v>71</v>
      </c>
      <c r="M23" s="8" t="s">
        <v>72</v>
      </c>
      <c r="N23" s="7">
        <v>1.63</v>
      </c>
      <c r="O23" s="2">
        <v>1</v>
      </c>
      <c r="P23" s="7">
        <v>1.63</v>
      </c>
      <c r="Q23" s="7">
        <v>0</v>
      </c>
      <c r="R23" s="7">
        <v>0.25</v>
      </c>
      <c r="S23" s="7">
        <v>1.57</v>
      </c>
      <c r="T23" s="7">
        <v>1.88</v>
      </c>
    </row>
    <row r="24" spans="1:20">
      <c r="A24">
        <v>20</v>
      </c>
      <c r="B24" s="4">
        <v>46294.373784722222</v>
      </c>
      <c r="C24" s="5">
        <v>46294</v>
      </c>
      <c r="D24" s="6">
        <v>2.3806712962962964</v>
      </c>
      <c r="E24" s="5">
        <v>46294</v>
      </c>
      <c r="F24" t="s">
        <v>24</v>
      </c>
      <c r="G24" t="s">
        <v>25</v>
      </c>
      <c r="H24" t="s">
        <v>26</v>
      </c>
      <c r="I24" t="s">
        <v>27</v>
      </c>
      <c r="J24" t="s">
        <v>27</v>
      </c>
      <c r="K24" t="s">
        <v>70</v>
      </c>
      <c r="L24" s="2" t="s">
        <v>73</v>
      </c>
      <c r="M24" s="8" t="s">
        <v>74</v>
      </c>
      <c r="N24" s="7">
        <v>2.71</v>
      </c>
      <c r="O24" s="2">
        <v>1</v>
      </c>
      <c r="P24" s="7">
        <v>2.71</v>
      </c>
      <c r="Q24" s="7">
        <v>0</v>
      </c>
      <c r="R24" s="7">
        <v>0.42</v>
      </c>
      <c r="S24" s="7">
        <v>0.97</v>
      </c>
      <c r="T24" s="7">
        <v>3.13</v>
      </c>
    </row>
    <row r="25" spans="1:20">
      <c r="A25">
        <v>21</v>
      </c>
      <c r="B25" s="4">
        <v>46294.385150462964</v>
      </c>
      <c r="C25" s="5">
        <v>46294</v>
      </c>
      <c r="D25" s="6">
        <v>2.385150462962963</v>
      </c>
      <c r="E25" s="5">
        <v>46294</v>
      </c>
      <c r="F25" t="s">
        <v>24</v>
      </c>
      <c r="G25" t="s">
        <v>25</v>
      </c>
      <c r="H25" t="s">
        <v>26</v>
      </c>
      <c r="I25" t="s">
        <v>27</v>
      </c>
      <c r="J25" t="s">
        <v>27</v>
      </c>
      <c r="K25" t="s">
        <v>75</v>
      </c>
      <c r="L25" s="2" t="s">
        <v>76</v>
      </c>
      <c r="M25" s="8" t="s">
        <v>77</v>
      </c>
      <c r="N25" s="7">
        <v>0.65</v>
      </c>
      <c r="O25" s="2">
        <v>1</v>
      </c>
      <c r="P25" s="7">
        <v>0.65</v>
      </c>
      <c r="Q25" s="7">
        <v>0</v>
      </c>
      <c r="R25" s="7">
        <v>0.1</v>
      </c>
      <c r="S25" s="7">
        <v>0.63</v>
      </c>
      <c r="T25" s="7">
        <v>0.75</v>
      </c>
    </row>
    <row r="26" spans="1:20">
      <c r="A26">
        <v>22</v>
      </c>
      <c r="B26" s="4">
        <v>46294.385150462964</v>
      </c>
      <c r="C26" s="5">
        <v>46294</v>
      </c>
      <c r="D26" s="6">
        <v>2.3853124999999999</v>
      </c>
      <c r="E26" s="5">
        <v>46294</v>
      </c>
      <c r="F26" t="s">
        <v>24</v>
      </c>
      <c r="G26" t="s">
        <v>25</v>
      </c>
      <c r="H26" t="s">
        <v>26</v>
      </c>
      <c r="I26" t="s">
        <v>27</v>
      </c>
      <c r="J26" t="s">
        <v>27</v>
      </c>
      <c r="K26" t="s">
        <v>75</v>
      </c>
      <c r="L26" s="2" t="s">
        <v>38</v>
      </c>
      <c r="M26" s="8" t="s">
        <v>39</v>
      </c>
      <c r="N26" s="7">
        <v>0.03</v>
      </c>
      <c r="O26" s="2">
        <v>4</v>
      </c>
      <c r="P26" s="7">
        <v>0.12</v>
      </c>
      <c r="Q26" s="7">
        <v>0</v>
      </c>
      <c r="R26" s="7">
        <v>0.02</v>
      </c>
      <c r="S26" s="7">
        <v>0.04</v>
      </c>
      <c r="T26" s="7">
        <v>0.14000000000000001</v>
      </c>
    </row>
    <row r="27" spans="1:20">
      <c r="A27">
        <v>23</v>
      </c>
      <c r="B27" s="4">
        <v>46294.396793981483</v>
      </c>
      <c r="C27" s="5">
        <v>46294</v>
      </c>
      <c r="D27" s="6">
        <v>2.3967939814814816</v>
      </c>
      <c r="E27" s="5">
        <v>46294</v>
      </c>
      <c r="F27" t="s">
        <v>24</v>
      </c>
      <c r="G27" t="s">
        <v>25</v>
      </c>
      <c r="H27" t="s">
        <v>26</v>
      </c>
      <c r="I27" t="s">
        <v>27</v>
      </c>
      <c r="J27" t="s">
        <v>27</v>
      </c>
      <c r="K27" t="s">
        <v>78</v>
      </c>
      <c r="L27" s="2" t="s">
        <v>59</v>
      </c>
      <c r="M27" s="8" t="s">
        <v>60</v>
      </c>
      <c r="N27" s="7">
        <v>0.31</v>
      </c>
      <c r="O27" s="2">
        <v>1</v>
      </c>
      <c r="P27" s="7">
        <v>0.31</v>
      </c>
      <c r="Q27" s="7">
        <v>0</v>
      </c>
      <c r="R27" s="7">
        <v>0</v>
      </c>
      <c r="S27" s="7">
        <v>0.3</v>
      </c>
      <c r="T27" s="7">
        <v>0.31</v>
      </c>
    </row>
    <row r="28" spans="1:20">
      <c r="A28">
        <v>24</v>
      </c>
      <c r="B28" s="4">
        <v>46294.403333333335</v>
      </c>
      <c r="C28" s="5">
        <v>46294</v>
      </c>
      <c r="D28" s="6">
        <v>2.4033217592592591</v>
      </c>
      <c r="E28" s="5">
        <v>46294</v>
      </c>
      <c r="F28" t="s">
        <v>24</v>
      </c>
      <c r="G28" t="s">
        <v>25</v>
      </c>
      <c r="H28" t="s">
        <v>26</v>
      </c>
      <c r="I28" t="s">
        <v>27</v>
      </c>
      <c r="J28" t="s">
        <v>27</v>
      </c>
      <c r="K28" t="s">
        <v>79</v>
      </c>
      <c r="L28" s="2" t="s">
        <v>59</v>
      </c>
      <c r="M28" s="8" t="s">
        <v>60</v>
      </c>
      <c r="N28" s="7">
        <v>0.31</v>
      </c>
      <c r="O28" s="2">
        <v>4</v>
      </c>
      <c r="P28" s="7">
        <v>1.24</v>
      </c>
      <c r="Q28" s="7">
        <v>0</v>
      </c>
      <c r="R28" s="7">
        <v>0</v>
      </c>
      <c r="S28" s="7">
        <v>1.2</v>
      </c>
      <c r="T28" s="7">
        <v>1.24</v>
      </c>
    </row>
    <row r="29" spans="1:20">
      <c r="A29">
        <v>25</v>
      </c>
      <c r="B29" s="4">
        <v>46294.428136574075</v>
      </c>
      <c r="C29" s="5">
        <v>46294</v>
      </c>
      <c r="D29" s="6">
        <v>2.4281365740740739</v>
      </c>
      <c r="E29" s="5">
        <v>46294</v>
      </c>
      <c r="F29" t="s">
        <v>24</v>
      </c>
      <c r="G29" t="s">
        <v>25</v>
      </c>
      <c r="H29" t="s">
        <v>26</v>
      </c>
      <c r="I29" t="s">
        <v>27</v>
      </c>
      <c r="J29" t="s">
        <v>27</v>
      </c>
      <c r="K29" t="s">
        <v>80</v>
      </c>
      <c r="L29" s="2" t="s">
        <v>63</v>
      </c>
      <c r="M29" s="8" t="s">
        <v>64</v>
      </c>
      <c r="N29" s="7">
        <v>1.9</v>
      </c>
      <c r="O29" s="2">
        <v>2</v>
      </c>
      <c r="P29" s="7">
        <v>3.8</v>
      </c>
      <c r="Q29" s="7">
        <v>0</v>
      </c>
      <c r="R29" s="7">
        <v>0.59</v>
      </c>
      <c r="S29" s="7">
        <v>3.66</v>
      </c>
      <c r="T29" s="7">
        <v>4.3899999999999997</v>
      </c>
    </row>
    <row r="30" spans="1:20">
      <c r="A30">
        <v>26</v>
      </c>
      <c r="B30" s="4">
        <v>46294.428136574075</v>
      </c>
      <c r="C30" s="5">
        <v>46294</v>
      </c>
      <c r="D30" s="6">
        <v>2.4286689814814815</v>
      </c>
      <c r="E30" s="5">
        <v>46294</v>
      </c>
      <c r="F30" t="s">
        <v>24</v>
      </c>
      <c r="G30" t="s">
        <v>25</v>
      </c>
      <c r="H30" t="s">
        <v>26</v>
      </c>
      <c r="I30" t="s">
        <v>27</v>
      </c>
      <c r="J30" t="s">
        <v>27</v>
      </c>
      <c r="K30" t="s">
        <v>80</v>
      </c>
      <c r="L30" s="2" t="s">
        <v>81</v>
      </c>
      <c r="M30" s="8" t="s">
        <v>82</v>
      </c>
      <c r="N30" s="7">
        <v>1.08</v>
      </c>
      <c r="O30" s="2">
        <v>1</v>
      </c>
      <c r="P30" s="7">
        <v>1.08</v>
      </c>
      <c r="Q30" s="7">
        <v>0</v>
      </c>
      <c r="R30" s="7">
        <v>0.17</v>
      </c>
      <c r="S30" s="7">
        <v>0.26</v>
      </c>
      <c r="T30" s="7">
        <v>1.25</v>
      </c>
    </row>
    <row r="31" spans="1:20">
      <c r="A31">
        <v>27</v>
      </c>
      <c r="B31" s="4">
        <v>46294.44940972222</v>
      </c>
      <c r="C31" s="5">
        <v>46294</v>
      </c>
      <c r="D31" s="6">
        <v>2.4493981481481479</v>
      </c>
      <c r="E31" s="5">
        <v>46294</v>
      </c>
      <c r="F31" t="s">
        <v>24</v>
      </c>
      <c r="G31" t="s">
        <v>25</v>
      </c>
      <c r="H31" t="s">
        <v>26</v>
      </c>
      <c r="I31" t="s">
        <v>27</v>
      </c>
      <c r="J31" t="s">
        <v>27</v>
      </c>
      <c r="K31" t="s">
        <v>83</v>
      </c>
      <c r="L31" s="2" t="s">
        <v>53</v>
      </c>
      <c r="M31" s="8" t="s">
        <v>54</v>
      </c>
      <c r="N31" s="7">
        <v>0.38</v>
      </c>
      <c r="O31" s="2">
        <v>4</v>
      </c>
      <c r="P31" s="7">
        <v>1.52</v>
      </c>
      <c r="Q31" s="7">
        <v>0</v>
      </c>
      <c r="R31" s="7">
        <v>0.24</v>
      </c>
      <c r="S31" s="7">
        <v>1.19</v>
      </c>
      <c r="T31" s="7">
        <v>1.76</v>
      </c>
    </row>
    <row r="32" spans="1:20">
      <c r="A32">
        <v>28</v>
      </c>
      <c r="B32" s="4">
        <v>46294.44940972222</v>
      </c>
      <c r="C32" s="5">
        <v>46294</v>
      </c>
      <c r="D32" s="6">
        <v>2.4494907407407407</v>
      </c>
      <c r="E32" s="5">
        <v>46294</v>
      </c>
      <c r="F32" t="s">
        <v>24</v>
      </c>
      <c r="G32" t="s">
        <v>25</v>
      </c>
      <c r="H32" t="s">
        <v>26</v>
      </c>
      <c r="I32" t="s">
        <v>27</v>
      </c>
      <c r="J32" t="s">
        <v>27</v>
      </c>
      <c r="K32" t="s">
        <v>83</v>
      </c>
      <c r="L32" s="2" t="s">
        <v>56</v>
      </c>
      <c r="M32" s="8" t="s">
        <v>57</v>
      </c>
      <c r="N32" s="7">
        <v>0.27</v>
      </c>
      <c r="O32" s="2">
        <v>4</v>
      </c>
      <c r="P32" s="7">
        <v>1.08</v>
      </c>
      <c r="Q32" s="7">
        <v>0</v>
      </c>
      <c r="R32" s="7">
        <v>0.17</v>
      </c>
      <c r="S32" s="7">
        <v>0.75</v>
      </c>
      <c r="T32" s="7">
        <v>1.25</v>
      </c>
    </row>
    <row r="33" spans="1:20">
      <c r="A33">
        <v>29</v>
      </c>
      <c r="B33" s="4">
        <v>46294.44940972222</v>
      </c>
      <c r="C33" s="5">
        <v>46294</v>
      </c>
      <c r="D33" s="6">
        <v>2.4498958333333332</v>
      </c>
      <c r="E33" s="5">
        <v>46294</v>
      </c>
      <c r="F33" t="s">
        <v>24</v>
      </c>
      <c r="G33" t="s">
        <v>25</v>
      </c>
      <c r="H33" t="s">
        <v>26</v>
      </c>
      <c r="I33" t="s">
        <v>27</v>
      </c>
      <c r="J33" t="s">
        <v>27</v>
      </c>
      <c r="K33" t="s">
        <v>83</v>
      </c>
      <c r="L33" s="2" t="s">
        <v>84</v>
      </c>
      <c r="M33" s="8" t="s">
        <v>85</v>
      </c>
      <c r="N33" s="7">
        <v>1.35</v>
      </c>
      <c r="O33" s="2">
        <v>1</v>
      </c>
      <c r="P33" s="7">
        <v>1.35</v>
      </c>
      <c r="Q33" s="7">
        <v>0</v>
      </c>
      <c r="R33" s="7">
        <v>0.21</v>
      </c>
      <c r="S33" s="7">
        <v>1.3</v>
      </c>
      <c r="T33" s="7">
        <v>1.56</v>
      </c>
    </row>
    <row r="34" spans="1:20">
      <c r="A34">
        <v>30</v>
      </c>
      <c r="B34" s="4">
        <v>46294.44940972222</v>
      </c>
      <c r="C34" s="5">
        <v>46294</v>
      </c>
      <c r="D34" s="6">
        <v>2.4501504629629629</v>
      </c>
      <c r="E34" s="5">
        <v>46294</v>
      </c>
      <c r="F34" t="s">
        <v>24</v>
      </c>
      <c r="G34" t="s">
        <v>25</v>
      </c>
      <c r="H34" t="s">
        <v>26</v>
      </c>
      <c r="I34" t="s">
        <v>27</v>
      </c>
      <c r="J34" t="s">
        <v>27</v>
      </c>
      <c r="K34" t="s">
        <v>83</v>
      </c>
      <c r="L34" s="2" t="s">
        <v>86</v>
      </c>
      <c r="M34" s="8" t="s">
        <v>87</v>
      </c>
      <c r="N34" s="7">
        <v>2.71</v>
      </c>
      <c r="O34" s="2">
        <v>1</v>
      </c>
      <c r="P34" s="7">
        <v>2.71</v>
      </c>
      <c r="Q34" s="7">
        <v>0</v>
      </c>
      <c r="R34" s="7">
        <v>0.42</v>
      </c>
      <c r="S34" s="7">
        <v>2.6</v>
      </c>
      <c r="T34" s="7">
        <v>3.13</v>
      </c>
    </row>
    <row r="35" spans="1:20">
      <c r="A35">
        <v>31</v>
      </c>
      <c r="B35" s="4">
        <v>46294.44940972222</v>
      </c>
      <c r="C35" s="5">
        <v>46294</v>
      </c>
      <c r="D35" s="6">
        <v>2.4502199074074076</v>
      </c>
      <c r="E35" s="5">
        <v>46294</v>
      </c>
      <c r="F35" t="s">
        <v>24</v>
      </c>
      <c r="G35" t="s">
        <v>25</v>
      </c>
      <c r="H35" t="s">
        <v>26</v>
      </c>
      <c r="I35" t="s">
        <v>27</v>
      </c>
      <c r="J35" t="s">
        <v>27</v>
      </c>
      <c r="K35" t="s">
        <v>83</v>
      </c>
      <c r="L35" s="2" t="s">
        <v>88</v>
      </c>
      <c r="M35" s="8" t="s">
        <v>89</v>
      </c>
      <c r="N35" s="7">
        <v>0.81</v>
      </c>
      <c r="O35" s="2">
        <v>3</v>
      </c>
      <c r="P35" s="7">
        <v>2.4300000000000002</v>
      </c>
      <c r="Q35" s="7">
        <v>0</v>
      </c>
      <c r="R35" s="7">
        <v>0.38</v>
      </c>
      <c r="S35" s="7">
        <v>2.36</v>
      </c>
      <c r="T35" s="7">
        <v>2.81</v>
      </c>
    </row>
    <row r="36" spans="1:20">
      <c r="A36">
        <v>32</v>
      </c>
      <c r="B36" s="4">
        <v>46294.44940972222</v>
      </c>
      <c r="C36" s="5">
        <v>46294</v>
      </c>
      <c r="D36" s="6">
        <v>2.4503009259259261</v>
      </c>
      <c r="E36" s="5">
        <v>46294</v>
      </c>
      <c r="F36" t="s">
        <v>24</v>
      </c>
      <c r="G36" t="s">
        <v>25</v>
      </c>
      <c r="H36" t="s">
        <v>26</v>
      </c>
      <c r="I36" t="s">
        <v>27</v>
      </c>
      <c r="J36" t="s">
        <v>27</v>
      </c>
      <c r="K36" t="s">
        <v>83</v>
      </c>
      <c r="L36" s="2" t="s">
        <v>90</v>
      </c>
      <c r="M36" s="8" t="s">
        <v>91</v>
      </c>
      <c r="N36" s="7">
        <v>1.08</v>
      </c>
      <c r="O36" s="2">
        <v>1</v>
      </c>
      <c r="P36" s="7">
        <v>1.08</v>
      </c>
      <c r="Q36" s="7">
        <v>0</v>
      </c>
      <c r="R36" s="7">
        <v>0.17</v>
      </c>
      <c r="S36" s="7">
        <v>1.04</v>
      </c>
      <c r="T36" s="7">
        <v>1.25</v>
      </c>
    </row>
    <row r="37" spans="1:20">
      <c r="A37">
        <v>33</v>
      </c>
      <c r="B37" s="4">
        <v>46294.44940972222</v>
      </c>
      <c r="C37" s="5">
        <v>46294</v>
      </c>
      <c r="D37" s="6">
        <v>2.4504050925925926</v>
      </c>
      <c r="E37" s="5">
        <v>46294</v>
      </c>
      <c r="F37" t="s">
        <v>24</v>
      </c>
      <c r="G37" t="s">
        <v>25</v>
      </c>
      <c r="H37" t="s">
        <v>26</v>
      </c>
      <c r="I37" t="s">
        <v>27</v>
      </c>
      <c r="J37" t="s">
        <v>27</v>
      </c>
      <c r="K37" t="s">
        <v>83</v>
      </c>
      <c r="L37" s="2" t="s">
        <v>92</v>
      </c>
      <c r="M37" s="8" t="s">
        <v>93</v>
      </c>
      <c r="N37" s="7">
        <v>0.65</v>
      </c>
      <c r="O37" s="2">
        <v>2</v>
      </c>
      <c r="P37" s="7">
        <v>1.3</v>
      </c>
      <c r="Q37" s="7">
        <v>0</v>
      </c>
      <c r="R37" s="7">
        <v>0.2</v>
      </c>
      <c r="S37" s="7">
        <v>1.26</v>
      </c>
      <c r="T37" s="7">
        <v>1.5</v>
      </c>
    </row>
    <row r="38" spans="1:20">
      <c r="A38">
        <v>34</v>
      </c>
      <c r="B38" s="4">
        <v>46294.44940972222</v>
      </c>
      <c r="C38" s="5">
        <v>46294</v>
      </c>
      <c r="D38" s="6">
        <v>2.4505324074074073</v>
      </c>
      <c r="E38" s="5">
        <v>46294</v>
      </c>
      <c r="F38" t="s">
        <v>24</v>
      </c>
      <c r="G38" t="s">
        <v>25</v>
      </c>
      <c r="H38" t="s">
        <v>26</v>
      </c>
      <c r="I38" t="s">
        <v>27</v>
      </c>
      <c r="J38" t="s">
        <v>27</v>
      </c>
      <c r="K38" t="s">
        <v>83</v>
      </c>
      <c r="L38" s="2" t="s">
        <v>94</v>
      </c>
      <c r="M38" s="8" t="s">
        <v>95</v>
      </c>
      <c r="N38" s="7">
        <v>1.63</v>
      </c>
      <c r="O38" s="2">
        <v>1</v>
      </c>
      <c r="P38" s="7">
        <v>1.63</v>
      </c>
      <c r="Q38" s="7">
        <v>0</v>
      </c>
      <c r="R38" s="7">
        <v>0.25</v>
      </c>
      <c r="S38" s="7">
        <v>0.73</v>
      </c>
      <c r="T38" s="7">
        <v>1.88</v>
      </c>
    </row>
    <row r="39" spans="1:20">
      <c r="A39">
        <v>35</v>
      </c>
      <c r="B39" s="4">
        <v>46294.44940972222</v>
      </c>
      <c r="C39" s="5">
        <v>46294</v>
      </c>
      <c r="D39" s="6">
        <v>2.450601851851852</v>
      </c>
      <c r="E39" s="5">
        <v>46294</v>
      </c>
      <c r="F39" t="s">
        <v>24</v>
      </c>
      <c r="G39" t="s">
        <v>25</v>
      </c>
      <c r="H39" t="s">
        <v>26</v>
      </c>
      <c r="I39" t="s">
        <v>27</v>
      </c>
      <c r="J39" t="s">
        <v>27</v>
      </c>
      <c r="K39" t="s">
        <v>83</v>
      </c>
      <c r="L39" s="2" t="s">
        <v>96</v>
      </c>
      <c r="M39" s="8" t="s">
        <v>97</v>
      </c>
      <c r="N39" s="7">
        <v>1.63</v>
      </c>
      <c r="O39" s="2">
        <v>1</v>
      </c>
      <c r="P39" s="7">
        <v>1.63</v>
      </c>
      <c r="Q39" s="7">
        <v>0</v>
      </c>
      <c r="R39" s="7">
        <v>0.25</v>
      </c>
      <c r="S39" s="7">
        <v>1.56</v>
      </c>
      <c r="T39" s="7">
        <v>1.88</v>
      </c>
    </row>
    <row r="40" spans="1:20">
      <c r="A40">
        <v>36</v>
      </c>
      <c r="B40" s="4">
        <v>46294.44940972222</v>
      </c>
      <c r="C40" s="5">
        <v>46294</v>
      </c>
      <c r="D40" s="6">
        <v>2.4506828703703705</v>
      </c>
      <c r="E40" s="5">
        <v>46294</v>
      </c>
      <c r="F40" t="s">
        <v>24</v>
      </c>
      <c r="G40" t="s">
        <v>25</v>
      </c>
      <c r="H40" t="s">
        <v>26</v>
      </c>
      <c r="I40" t="s">
        <v>27</v>
      </c>
      <c r="J40" t="s">
        <v>27</v>
      </c>
      <c r="K40" t="s">
        <v>83</v>
      </c>
      <c r="L40" s="2" t="s">
        <v>98</v>
      </c>
      <c r="M40" s="8" t="s">
        <v>99</v>
      </c>
      <c r="N40" s="7">
        <v>0.81</v>
      </c>
      <c r="O40" s="2">
        <v>1</v>
      </c>
      <c r="P40" s="7">
        <v>0.81</v>
      </c>
      <c r="Q40" s="7">
        <v>0</v>
      </c>
      <c r="R40" s="7">
        <v>0.13</v>
      </c>
      <c r="S40" s="7">
        <v>0.79</v>
      </c>
      <c r="T40" s="7">
        <v>0.94</v>
      </c>
    </row>
    <row r="41" spans="1:20">
      <c r="A41">
        <v>37</v>
      </c>
      <c r="B41" s="4">
        <v>46294.44940972222</v>
      </c>
      <c r="C41" s="5">
        <v>46294</v>
      </c>
      <c r="D41" s="6">
        <v>2.450763888888889</v>
      </c>
      <c r="E41" s="5">
        <v>46294</v>
      </c>
      <c r="F41" t="s">
        <v>24</v>
      </c>
      <c r="G41" t="s">
        <v>25</v>
      </c>
      <c r="H41" t="s">
        <v>26</v>
      </c>
      <c r="I41" t="s">
        <v>27</v>
      </c>
      <c r="J41" t="s">
        <v>27</v>
      </c>
      <c r="K41" t="s">
        <v>83</v>
      </c>
      <c r="L41" s="2" t="s">
        <v>66</v>
      </c>
      <c r="M41" s="8" t="s">
        <v>67</v>
      </c>
      <c r="N41" s="7">
        <v>2.19</v>
      </c>
      <c r="O41" s="2">
        <v>1</v>
      </c>
      <c r="P41" s="7">
        <v>2.19</v>
      </c>
      <c r="Q41" s="7">
        <v>0</v>
      </c>
      <c r="R41" s="7">
        <v>0</v>
      </c>
      <c r="S41" s="7">
        <v>2.1</v>
      </c>
      <c r="T41" s="7">
        <v>2.19</v>
      </c>
    </row>
    <row r="42" spans="1:20">
      <c r="A42">
        <v>38</v>
      </c>
      <c r="B42" s="4">
        <v>46294.44940972222</v>
      </c>
      <c r="C42" s="5">
        <v>46294</v>
      </c>
      <c r="D42" s="6">
        <v>2.4522453703703704</v>
      </c>
      <c r="E42" s="5">
        <v>46294</v>
      </c>
      <c r="F42" t="s">
        <v>24</v>
      </c>
      <c r="G42" t="s">
        <v>25</v>
      </c>
      <c r="H42" t="s">
        <v>26</v>
      </c>
      <c r="I42" t="s">
        <v>27</v>
      </c>
      <c r="J42" t="s">
        <v>27</v>
      </c>
      <c r="K42" t="s">
        <v>83</v>
      </c>
      <c r="L42" s="2" t="s">
        <v>100</v>
      </c>
      <c r="M42" s="8" t="s">
        <v>101</v>
      </c>
      <c r="N42" s="7">
        <v>0.81</v>
      </c>
      <c r="O42" s="2">
        <v>1</v>
      </c>
      <c r="P42" s="7">
        <v>0.81</v>
      </c>
      <c r="Q42" s="7">
        <v>0</v>
      </c>
      <c r="R42" s="7">
        <v>0.13</v>
      </c>
      <c r="S42" s="7">
        <v>0.39</v>
      </c>
      <c r="T42" s="7">
        <v>0.94</v>
      </c>
    </row>
    <row r="43" spans="1:20">
      <c r="A43">
        <v>39</v>
      </c>
      <c r="B43" s="4">
        <v>46294.455150462964</v>
      </c>
      <c r="C43" s="5">
        <v>46294</v>
      </c>
      <c r="D43" s="6">
        <v>2.455138888888889</v>
      </c>
      <c r="E43" s="5">
        <v>46294</v>
      </c>
      <c r="F43" t="s">
        <v>24</v>
      </c>
      <c r="G43" t="s">
        <v>25</v>
      </c>
      <c r="H43" t="s">
        <v>26</v>
      </c>
      <c r="I43" t="s">
        <v>27</v>
      </c>
      <c r="J43" t="s">
        <v>27</v>
      </c>
      <c r="K43" t="s">
        <v>102</v>
      </c>
      <c r="L43" s="2" t="s">
        <v>103</v>
      </c>
      <c r="M43" s="8" t="s">
        <v>104</v>
      </c>
      <c r="N43" s="7">
        <v>1.35</v>
      </c>
      <c r="O43" s="2">
        <v>1</v>
      </c>
      <c r="P43" s="7">
        <v>1.35</v>
      </c>
      <c r="Q43" s="7">
        <v>0</v>
      </c>
      <c r="R43" s="7">
        <v>0.21</v>
      </c>
      <c r="S43" s="7">
        <v>0.5</v>
      </c>
      <c r="T43" s="7">
        <v>1.56</v>
      </c>
    </row>
    <row r="44" spans="1:20">
      <c r="A44">
        <v>40</v>
      </c>
      <c r="B44" s="4">
        <v>46294.455150462964</v>
      </c>
      <c r="C44" s="5">
        <v>46294</v>
      </c>
      <c r="D44" s="6">
        <v>2.4551967592592594</v>
      </c>
      <c r="E44" s="5">
        <v>46294</v>
      </c>
      <c r="F44" t="s">
        <v>24</v>
      </c>
      <c r="G44" t="s">
        <v>25</v>
      </c>
      <c r="H44" t="s">
        <v>26</v>
      </c>
      <c r="I44" t="s">
        <v>27</v>
      </c>
      <c r="J44" t="s">
        <v>27</v>
      </c>
      <c r="K44" t="s">
        <v>102</v>
      </c>
      <c r="L44" s="2" t="s">
        <v>105</v>
      </c>
      <c r="M44" s="8" t="s">
        <v>106</v>
      </c>
      <c r="N44" s="7">
        <v>0.38</v>
      </c>
      <c r="O44" s="2">
        <v>1</v>
      </c>
      <c r="P44" s="7">
        <v>0.38</v>
      </c>
      <c r="Q44" s="7">
        <v>0</v>
      </c>
      <c r="R44" s="7">
        <v>0.06</v>
      </c>
      <c r="S44" s="7">
        <v>0.37</v>
      </c>
      <c r="T44" s="7">
        <v>0.44</v>
      </c>
    </row>
    <row r="45" spans="1:20">
      <c r="A45">
        <v>41</v>
      </c>
      <c r="B45" s="4">
        <v>46294.459351851852</v>
      </c>
      <c r="C45" s="5">
        <v>46294</v>
      </c>
      <c r="D45" s="6">
        <v>2.4593402777777778</v>
      </c>
      <c r="E45" s="5">
        <v>46294</v>
      </c>
      <c r="F45" t="s">
        <v>24</v>
      </c>
      <c r="G45" t="s">
        <v>25</v>
      </c>
      <c r="H45" t="s">
        <v>26</v>
      </c>
      <c r="I45" t="s">
        <v>27</v>
      </c>
      <c r="J45" t="s">
        <v>27</v>
      </c>
      <c r="K45" t="s">
        <v>107</v>
      </c>
      <c r="L45" s="2" t="s">
        <v>50</v>
      </c>
      <c r="M45" s="8" t="s">
        <v>51</v>
      </c>
      <c r="N45" s="7">
        <v>0.43</v>
      </c>
      <c r="O45" s="2">
        <v>1</v>
      </c>
      <c r="P45" s="7">
        <v>0.43</v>
      </c>
      <c r="Q45" s="7">
        <v>0</v>
      </c>
      <c r="R45" s="7">
        <v>7.0000000000000007E-2</v>
      </c>
      <c r="S45" s="7">
        <v>0.41</v>
      </c>
      <c r="T45" s="7">
        <v>0.5</v>
      </c>
    </row>
    <row r="46" spans="1:20">
      <c r="A46">
        <v>42</v>
      </c>
      <c r="B46" s="4">
        <v>46294.48133101852</v>
      </c>
      <c r="C46" s="5">
        <v>46294</v>
      </c>
      <c r="D46" s="6">
        <v>2.4813194444444444</v>
      </c>
      <c r="E46" s="5">
        <v>46294</v>
      </c>
      <c r="F46" t="s">
        <v>24</v>
      </c>
      <c r="G46" t="s">
        <v>25</v>
      </c>
      <c r="H46" t="s">
        <v>26</v>
      </c>
      <c r="I46" t="s">
        <v>27</v>
      </c>
      <c r="J46" t="s">
        <v>27</v>
      </c>
      <c r="K46" t="s">
        <v>108</v>
      </c>
      <c r="L46" s="2" t="s">
        <v>109</v>
      </c>
      <c r="M46" s="8" t="s">
        <v>110</v>
      </c>
      <c r="N46" s="7">
        <v>1.08</v>
      </c>
      <c r="O46" s="2">
        <v>3</v>
      </c>
      <c r="P46" s="7">
        <v>3.24</v>
      </c>
      <c r="Q46" s="7">
        <v>0</v>
      </c>
      <c r="R46" s="7">
        <v>0.5</v>
      </c>
      <c r="S46" s="7">
        <v>0.77</v>
      </c>
      <c r="T46" s="7">
        <v>3.74</v>
      </c>
    </row>
    <row r="47" spans="1:20">
      <c r="A47">
        <v>43</v>
      </c>
      <c r="B47" s="4">
        <v>46294.48133101852</v>
      </c>
      <c r="C47" s="5">
        <v>46294</v>
      </c>
      <c r="D47" s="6">
        <v>2.4816319444444446</v>
      </c>
      <c r="E47" s="5">
        <v>46294</v>
      </c>
      <c r="F47" t="s">
        <v>24</v>
      </c>
      <c r="G47" t="s">
        <v>25</v>
      </c>
      <c r="H47" t="s">
        <v>26</v>
      </c>
      <c r="I47" t="s">
        <v>27</v>
      </c>
      <c r="J47" t="s">
        <v>27</v>
      </c>
      <c r="K47" t="s">
        <v>108</v>
      </c>
      <c r="L47" s="2" t="s">
        <v>53</v>
      </c>
      <c r="M47" s="8" t="s">
        <v>54</v>
      </c>
      <c r="N47" s="7">
        <v>0.38</v>
      </c>
      <c r="O47" s="2">
        <v>4</v>
      </c>
      <c r="P47" s="7">
        <v>1.52</v>
      </c>
      <c r="Q47" s="7">
        <v>0</v>
      </c>
      <c r="R47" s="7">
        <v>0.24</v>
      </c>
      <c r="S47" s="7">
        <v>1.19</v>
      </c>
      <c r="T47" s="7">
        <v>1.76</v>
      </c>
    </row>
    <row r="48" spans="1:20">
      <c r="A48">
        <v>44</v>
      </c>
      <c r="B48" s="4">
        <v>46294.48133101852</v>
      </c>
      <c r="C48" s="5">
        <v>46294</v>
      </c>
      <c r="D48" s="6">
        <v>2.4826736111111112</v>
      </c>
      <c r="E48" s="5">
        <v>46294</v>
      </c>
      <c r="F48" t="s">
        <v>24</v>
      </c>
      <c r="G48" t="s">
        <v>25</v>
      </c>
      <c r="H48" t="s">
        <v>26</v>
      </c>
      <c r="I48" t="s">
        <v>27</v>
      </c>
      <c r="J48" t="s">
        <v>27</v>
      </c>
      <c r="K48" t="s">
        <v>108</v>
      </c>
      <c r="L48" s="2" t="s">
        <v>111</v>
      </c>
      <c r="M48" s="8" t="s">
        <v>112</v>
      </c>
      <c r="N48" s="7">
        <v>1.08</v>
      </c>
      <c r="O48" s="2">
        <v>1</v>
      </c>
      <c r="P48" s="7">
        <v>1.08</v>
      </c>
      <c r="Q48" s="7">
        <v>0</v>
      </c>
      <c r="R48" s="7">
        <v>0.17</v>
      </c>
      <c r="S48" s="7">
        <v>0.32</v>
      </c>
      <c r="T48" s="7">
        <v>1.25</v>
      </c>
    </row>
    <row r="49" spans="1:20">
      <c r="A49">
        <v>45</v>
      </c>
      <c r="B49" s="4">
        <v>46294.48133101852</v>
      </c>
      <c r="C49" s="5">
        <v>46294</v>
      </c>
      <c r="D49" s="6">
        <v>2.4828819444444443</v>
      </c>
      <c r="E49" s="5">
        <v>46294</v>
      </c>
      <c r="F49" t="s">
        <v>24</v>
      </c>
      <c r="G49" t="s">
        <v>25</v>
      </c>
      <c r="H49" t="s">
        <v>26</v>
      </c>
      <c r="I49" t="s">
        <v>27</v>
      </c>
      <c r="J49" t="s">
        <v>27</v>
      </c>
      <c r="K49" t="s">
        <v>108</v>
      </c>
      <c r="L49" s="2" t="s">
        <v>113</v>
      </c>
      <c r="M49" s="8" t="s">
        <v>114</v>
      </c>
      <c r="N49" s="7">
        <v>1.08</v>
      </c>
      <c r="O49" s="2">
        <v>2</v>
      </c>
      <c r="P49" s="7">
        <v>2.16</v>
      </c>
      <c r="Q49" s="7">
        <v>0</v>
      </c>
      <c r="R49" s="7">
        <v>0.34</v>
      </c>
      <c r="S49" s="7">
        <v>0.51</v>
      </c>
      <c r="T49" s="7">
        <v>2.5</v>
      </c>
    </row>
    <row r="50" spans="1:20">
      <c r="A50">
        <v>46</v>
      </c>
      <c r="B50" s="4">
        <v>46294.488807870373</v>
      </c>
      <c r="C50" s="5">
        <v>46294</v>
      </c>
      <c r="D50" s="6">
        <v>2.4888078703703704</v>
      </c>
      <c r="E50" s="5">
        <v>46294</v>
      </c>
      <c r="F50" t="s">
        <v>24</v>
      </c>
      <c r="G50" t="s">
        <v>25</v>
      </c>
      <c r="H50" t="s">
        <v>26</v>
      </c>
      <c r="I50" t="s">
        <v>27</v>
      </c>
      <c r="J50" t="s">
        <v>27</v>
      </c>
      <c r="K50" t="s">
        <v>115</v>
      </c>
      <c r="L50" s="2" t="s">
        <v>47</v>
      </c>
      <c r="M50" s="8" t="s">
        <v>48</v>
      </c>
      <c r="N50" s="7">
        <v>0.05</v>
      </c>
      <c r="O50" s="2">
        <v>15</v>
      </c>
      <c r="P50" s="7">
        <v>0.75</v>
      </c>
      <c r="Q50" s="7">
        <v>0</v>
      </c>
      <c r="R50" s="7">
        <v>0.12</v>
      </c>
      <c r="S50" s="7">
        <v>0.34</v>
      </c>
      <c r="T50" s="7">
        <v>0.87</v>
      </c>
    </row>
    <row r="51" spans="1:20">
      <c r="A51">
        <v>47</v>
      </c>
      <c r="B51" s="4">
        <v>46294.512569444443</v>
      </c>
      <c r="C51" s="5">
        <v>46294</v>
      </c>
      <c r="D51" s="6">
        <v>2.5125578703703701</v>
      </c>
      <c r="E51" s="5">
        <v>46294</v>
      </c>
      <c r="F51" t="s">
        <v>24</v>
      </c>
      <c r="G51" t="s">
        <v>25</v>
      </c>
      <c r="H51" t="s">
        <v>26</v>
      </c>
      <c r="I51" t="s">
        <v>27</v>
      </c>
      <c r="J51" t="s">
        <v>27</v>
      </c>
      <c r="K51" t="s">
        <v>116</v>
      </c>
      <c r="L51" s="2" t="s">
        <v>50</v>
      </c>
      <c r="M51" s="8" t="s">
        <v>51</v>
      </c>
      <c r="N51" s="7">
        <v>0.43</v>
      </c>
      <c r="O51" s="2">
        <v>2</v>
      </c>
      <c r="P51" s="7">
        <v>0.86</v>
      </c>
      <c r="Q51" s="7">
        <v>0</v>
      </c>
      <c r="R51" s="7">
        <v>0.13</v>
      </c>
      <c r="S51" s="7">
        <v>0.82</v>
      </c>
      <c r="T51" s="7">
        <v>0.99</v>
      </c>
    </row>
    <row r="52" spans="1:20">
      <c r="A52">
        <v>48</v>
      </c>
      <c r="B52" s="4">
        <v>46294.515196759261</v>
      </c>
      <c r="C52" s="5">
        <v>46294</v>
      </c>
      <c r="D52" s="6">
        <v>2.5151967592592595</v>
      </c>
      <c r="E52" s="5">
        <v>46294</v>
      </c>
      <c r="F52" t="s">
        <v>24</v>
      </c>
      <c r="G52" t="s">
        <v>25</v>
      </c>
      <c r="H52" t="s">
        <v>26</v>
      </c>
      <c r="I52" t="s">
        <v>27</v>
      </c>
      <c r="J52" t="s">
        <v>27</v>
      </c>
      <c r="K52" t="s">
        <v>117</v>
      </c>
      <c r="L52" s="2" t="s">
        <v>113</v>
      </c>
      <c r="M52" s="8" t="s">
        <v>114</v>
      </c>
      <c r="N52" s="7">
        <v>1.08</v>
      </c>
      <c r="O52" s="2">
        <v>2</v>
      </c>
      <c r="P52" s="7">
        <v>2.16</v>
      </c>
      <c r="Q52" s="7">
        <v>0</v>
      </c>
      <c r="R52" s="7">
        <v>0.34</v>
      </c>
      <c r="S52" s="7">
        <v>0.51</v>
      </c>
      <c r="T52" s="7">
        <v>2.5</v>
      </c>
    </row>
    <row r="53" spans="1:20">
      <c r="A53">
        <v>49</v>
      </c>
      <c r="B53" s="4">
        <v>46294.54184027778</v>
      </c>
      <c r="C53" s="5">
        <v>46294</v>
      </c>
      <c r="D53" s="6">
        <v>2.5418402777777778</v>
      </c>
      <c r="E53" s="5">
        <v>46294</v>
      </c>
      <c r="F53" t="s">
        <v>24</v>
      </c>
      <c r="G53" t="s">
        <v>25</v>
      </c>
      <c r="H53" t="s">
        <v>26</v>
      </c>
      <c r="I53" t="s">
        <v>27</v>
      </c>
      <c r="J53" t="s">
        <v>27</v>
      </c>
      <c r="K53" t="s">
        <v>118</v>
      </c>
      <c r="L53" s="2" t="s">
        <v>35</v>
      </c>
      <c r="M53" s="8" t="s">
        <v>36</v>
      </c>
      <c r="N53" s="7">
        <v>0.81</v>
      </c>
      <c r="O53" s="2">
        <v>1</v>
      </c>
      <c r="P53" s="7">
        <v>0.81</v>
      </c>
      <c r="Q53" s="7">
        <v>0</v>
      </c>
      <c r="R53" s="7">
        <v>0.13</v>
      </c>
      <c r="S53" s="7">
        <v>0.38</v>
      </c>
      <c r="T53" s="7">
        <v>0.94</v>
      </c>
    </row>
    <row r="54" spans="1:20">
      <c r="A54">
        <v>50</v>
      </c>
      <c r="B54" s="4">
        <v>46294.54184027778</v>
      </c>
      <c r="C54" s="5">
        <v>46294</v>
      </c>
      <c r="D54" s="6">
        <v>2.5427777777777778</v>
      </c>
      <c r="E54" s="5">
        <v>46294</v>
      </c>
      <c r="F54" t="s">
        <v>24</v>
      </c>
      <c r="G54" t="s">
        <v>25</v>
      </c>
      <c r="H54" t="s">
        <v>26</v>
      </c>
      <c r="I54" t="s">
        <v>27</v>
      </c>
      <c r="J54" t="s">
        <v>27</v>
      </c>
      <c r="K54" t="s">
        <v>118</v>
      </c>
      <c r="L54" s="2" t="s">
        <v>35</v>
      </c>
      <c r="M54" s="8" t="s">
        <v>36</v>
      </c>
      <c r="N54" s="7">
        <v>0.81</v>
      </c>
      <c r="O54" s="2">
        <v>1</v>
      </c>
      <c r="P54" s="7">
        <v>0.81</v>
      </c>
      <c r="Q54" s="7">
        <v>0</v>
      </c>
      <c r="R54" s="7">
        <v>0.13</v>
      </c>
      <c r="S54" s="7">
        <v>0.38</v>
      </c>
      <c r="T54" s="7">
        <v>0.94</v>
      </c>
    </row>
    <row r="55" spans="1:20">
      <c r="A55">
        <v>51</v>
      </c>
      <c r="B55" s="4">
        <v>46294.54184027778</v>
      </c>
      <c r="C55" s="5">
        <v>46294</v>
      </c>
      <c r="D55" s="6">
        <v>2.5482754629629629</v>
      </c>
      <c r="E55" s="5">
        <v>46294</v>
      </c>
      <c r="F55" t="s">
        <v>24</v>
      </c>
      <c r="G55" t="s">
        <v>25</v>
      </c>
      <c r="H55" t="s">
        <v>26</v>
      </c>
      <c r="I55" t="s">
        <v>27</v>
      </c>
      <c r="J55" t="s">
        <v>27</v>
      </c>
      <c r="K55" t="s">
        <v>118</v>
      </c>
      <c r="L55" s="2" t="s">
        <v>63</v>
      </c>
      <c r="M55" s="8" t="s">
        <v>64</v>
      </c>
      <c r="N55" s="7">
        <v>1.9</v>
      </c>
      <c r="O55" s="2">
        <v>2</v>
      </c>
      <c r="P55" s="7">
        <v>3.8</v>
      </c>
      <c r="Q55" s="7">
        <v>0</v>
      </c>
      <c r="R55" s="7">
        <v>0.59</v>
      </c>
      <c r="S55" s="7">
        <v>3.66</v>
      </c>
      <c r="T55" s="7">
        <v>4.3899999999999997</v>
      </c>
    </row>
    <row r="56" spans="1:20">
      <c r="A56">
        <v>52</v>
      </c>
      <c r="B56" s="4">
        <v>46294.566550925927</v>
      </c>
      <c r="C56" s="5">
        <v>46294</v>
      </c>
      <c r="D56" s="6">
        <v>2.566550925925926</v>
      </c>
      <c r="E56" s="5">
        <v>46294</v>
      </c>
      <c r="F56" t="s">
        <v>24</v>
      </c>
      <c r="G56" t="s">
        <v>25</v>
      </c>
      <c r="H56" t="s">
        <v>26</v>
      </c>
      <c r="I56" t="s">
        <v>27</v>
      </c>
      <c r="J56" t="s">
        <v>27</v>
      </c>
      <c r="K56" t="s">
        <v>119</v>
      </c>
      <c r="L56" s="2" t="s">
        <v>120</v>
      </c>
      <c r="M56" s="8" t="s">
        <v>121</v>
      </c>
      <c r="N56" s="7">
        <v>0.81</v>
      </c>
      <c r="O56" s="2">
        <v>1</v>
      </c>
      <c r="P56" s="7">
        <v>0.81</v>
      </c>
      <c r="Q56" s="7">
        <v>0</v>
      </c>
      <c r="R56" s="7">
        <v>0.13</v>
      </c>
      <c r="S56" s="7">
        <v>0.79</v>
      </c>
      <c r="T56" s="7">
        <v>0.94</v>
      </c>
    </row>
    <row r="57" spans="1:20">
      <c r="A57">
        <v>53</v>
      </c>
      <c r="B57" s="4">
        <v>46294.566550925927</v>
      </c>
      <c r="C57" s="5">
        <v>46294</v>
      </c>
      <c r="D57" s="6">
        <v>2.5738425925925927</v>
      </c>
      <c r="E57" s="5">
        <v>46294</v>
      </c>
      <c r="F57" t="s">
        <v>24</v>
      </c>
      <c r="G57" t="s">
        <v>25</v>
      </c>
      <c r="H57" t="s">
        <v>26</v>
      </c>
      <c r="I57" t="s">
        <v>27</v>
      </c>
      <c r="J57" t="s">
        <v>27</v>
      </c>
      <c r="K57" t="s">
        <v>119</v>
      </c>
      <c r="L57" s="2" t="s">
        <v>96</v>
      </c>
      <c r="M57" s="8" t="s">
        <v>97</v>
      </c>
      <c r="N57" s="7">
        <v>1.63</v>
      </c>
      <c r="O57" s="2">
        <v>1</v>
      </c>
      <c r="P57" s="7">
        <v>1.63</v>
      </c>
      <c r="Q57" s="7">
        <v>0</v>
      </c>
      <c r="R57" s="7">
        <v>0.25</v>
      </c>
      <c r="S57" s="7">
        <v>1.56</v>
      </c>
      <c r="T57" s="7">
        <v>1.88</v>
      </c>
    </row>
    <row r="58" spans="1:20">
      <c r="A58">
        <v>54</v>
      </c>
      <c r="B58" s="4">
        <v>46294.585428240738</v>
      </c>
      <c r="C58" s="5">
        <v>46294</v>
      </c>
      <c r="D58" s="6">
        <v>2.5854166666666667</v>
      </c>
      <c r="E58" s="5">
        <v>46294</v>
      </c>
      <c r="F58" t="s">
        <v>24</v>
      </c>
      <c r="G58" t="s">
        <v>25</v>
      </c>
      <c r="H58" t="s">
        <v>26</v>
      </c>
      <c r="I58" t="s">
        <v>27</v>
      </c>
      <c r="J58" t="s">
        <v>27</v>
      </c>
      <c r="K58" t="s">
        <v>122</v>
      </c>
      <c r="L58" s="2" t="s">
        <v>105</v>
      </c>
      <c r="M58" s="8" t="s">
        <v>106</v>
      </c>
      <c r="N58" s="7">
        <v>0.38</v>
      </c>
      <c r="O58" s="2">
        <v>1</v>
      </c>
      <c r="P58" s="7">
        <v>0.38</v>
      </c>
      <c r="Q58" s="7">
        <v>0</v>
      </c>
      <c r="R58" s="7">
        <v>0.06</v>
      </c>
      <c r="S58" s="7">
        <v>0.37</v>
      </c>
      <c r="T58" s="7">
        <v>0.44</v>
      </c>
    </row>
    <row r="59" spans="1:20">
      <c r="A59">
        <v>55</v>
      </c>
      <c r="B59" s="4">
        <v>46294.5940625</v>
      </c>
      <c r="C59" s="5">
        <v>46294</v>
      </c>
      <c r="D59" s="6">
        <v>2.5940625000000002</v>
      </c>
      <c r="E59" s="5">
        <v>46294</v>
      </c>
      <c r="F59" t="s">
        <v>24</v>
      </c>
      <c r="G59" t="s">
        <v>25</v>
      </c>
      <c r="H59" t="s">
        <v>26</v>
      </c>
      <c r="I59" t="s">
        <v>27</v>
      </c>
      <c r="J59" t="s">
        <v>27</v>
      </c>
      <c r="K59" t="s">
        <v>123</v>
      </c>
      <c r="L59" s="2" t="s">
        <v>124</v>
      </c>
      <c r="M59" s="8" t="s">
        <v>125</v>
      </c>
      <c r="N59" s="7">
        <v>1.08</v>
      </c>
      <c r="O59" s="2">
        <v>1</v>
      </c>
      <c r="P59" s="7">
        <v>1.08</v>
      </c>
      <c r="Q59" s="7">
        <v>0</v>
      </c>
      <c r="R59" s="7">
        <v>0.17</v>
      </c>
      <c r="S59" s="7">
        <v>1.05</v>
      </c>
      <c r="T59" s="7">
        <v>1.25</v>
      </c>
    </row>
    <row r="60" spans="1:20">
      <c r="A60">
        <v>56</v>
      </c>
      <c r="B60" s="4">
        <v>46294.601793981485</v>
      </c>
      <c r="C60" s="5">
        <v>46294</v>
      </c>
      <c r="D60" s="6">
        <v>2.6017824074074074</v>
      </c>
      <c r="E60" s="5">
        <v>46294</v>
      </c>
      <c r="F60" t="s">
        <v>24</v>
      </c>
      <c r="G60" t="s">
        <v>25</v>
      </c>
      <c r="H60" t="s">
        <v>26</v>
      </c>
      <c r="I60" t="s">
        <v>27</v>
      </c>
      <c r="J60" t="s">
        <v>27</v>
      </c>
      <c r="K60" t="s">
        <v>126</v>
      </c>
      <c r="L60" s="2" t="s">
        <v>127</v>
      </c>
      <c r="M60" s="8" t="s">
        <v>128</v>
      </c>
      <c r="N60" s="7">
        <v>2.16</v>
      </c>
      <c r="O60" s="2">
        <v>2</v>
      </c>
      <c r="P60" s="7">
        <v>4.32</v>
      </c>
      <c r="Q60" s="7">
        <v>0</v>
      </c>
      <c r="R60" s="7">
        <v>0.67</v>
      </c>
      <c r="S60" s="7">
        <v>4.18</v>
      </c>
      <c r="T60" s="7">
        <v>4.99</v>
      </c>
    </row>
    <row r="61" spans="1:20">
      <c r="A61">
        <v>57</v>
      </c>
      <c r="B61" s="4">
        <v>46294.601793981485</v>
      </c>
      <c r="C61" s="5">
        <v>46294</v>
      </c>
      <c r="D61" s="6">
        <v>2.6019675925925925</v>
      </c>
      <c r="E61" s="5">
        <v>46294</v>
      </c>
      <c r="F61" t="s">
        <v>24</v>
      </c>
      <c r="G61" t="s">
        <v>25</v>
      </c>
      <c r="H61" t="s">
        <v>26</v>
      </c>
      <c r="I61" t="s">
        <v>27</v>
      </c>
      <c r="J61" t="s">
        <v>27</v>
      </c>
      <c r="K61" t="s">
        <v>126</v>
      </c>
      <c r="L61" s="2" t="s">
        <v>53</v>
      </c>
      <c r="M61" s="8" t="s">
        <v>54</v>
      </c>
      <c r="N61" s="7">
        <v>0.38</v>
      </c>
      <c r="O61" s="2">
        <v>1</v>
      </c>
      <c r="P61" s="7">
        <v>0.38</v>
      </c>
      <c r="Q61" s="7">
        <v>0</v>
      </c>
      <c r="R61" s="7">
        <v>0.06</v>
      </c>
      <c r="S61" s="7">
        <v>0.3</v>
      </c>
      <c r="T61" s="7">
        <v>0.44</v>
      </c>
    </row>
    <row r="62" spans="1:20">
      <c r="A62">
        <v>58</v>
      </c>
      <c r="B62" s="4">
        <v>46294.602962962963</v>
      </c>
      <c r="C62" s="5">
        <v>46294</v>
      </c>
      <c r="D62" s="6">
        <v>2.6029629629629629</v>
      </c>
      <c r="E62" s="5">
        <v>46294</v>
      </c>
      <c r="F62" t="s">
        <v>24</v>
      </c>
      <c r="G62" t="s">
        <v>25</v>
      </c>
      <c r="H62" t="s">
        <v>26</v>
      </c>
      <c r="I62" t="s">
        <v>27</v>
      </c>
      <c r="J62" t="s">
        <v>27</v>
      </c>
      <c r="K62" t="s">
        <v>129</v>
      </c>
      <c r="L62" s="2" t="s">
        <v>38</v>
      </c>
      <c r="M62" s="8" t="s">
        <v>39</v>
      </c>
      <c r="N62" s="7">
        <v>0.03</v>
      </c>
      <c r="O62" s="2">
        <v>10</v>
      </c>
      <c r="P62" s="7">
        <v>0.3</v>
      </c>
      <c r="Q62" s="7">
        <v>0</v>
      </c>
      <c r="R62" s="7">
        <v>0.04</v>
      </c>
      <c r="S62" s="7">
        <v>0.1</v>
      </c>
      <c r="T62" s="7">
        <v>0.34</v>
      </c>
    </row>
    <row r="63" spans="1:20">
      <c r="A63">
        <v>59</v>
      </c>
      <c r="B63" s="4">
        <v>46294.603819444441</v>
      </c>
      <c r="C63" s="5">
        <v>46294</v>
      </c>
      <c r="D63" s="6">
        <v>2.6038194444444445</v>
      </c>
      <c r="E63" s="5">
        <v>46294</v>
      </c>
      <c r="F63" t="s">
        <v>24</v>
      </c>
      <c r="G63" t="s">
        <v>25</v>
      </c>
      <c r="H63" t="s">
        <v>26</v>
      </c>
      <c r="I63" t="s">
        <v>27</v>
      </c>
      <c r="J63" t="s">
        <v>27</v>
      </c>
      <c r="K63" t="s">
        <v>130</v>
      </c>
      <c r="L63" s="2" t="s">
        <v>35</v>
      </c>
      <c r="M63" s="8" t="s">
        <v>36</v>
      </c>
      <c r="N63" s="7">
        <v>0.81</v>
      </c>
      <c r="O63" s="2">
        <v>1</v>
      </c>
      <c r="P63" s="7">
        <v>0.81</v>
      </c>
      <c r="Q63" s="7">
        <v>0</v>
      </c>
      <c r="R63" s="7">
        <v>0.13</v>
      </c>
      <c r="S63" s="7">
        <v>0.38</v>
      </c>
      <c r="T63" s="7">
        <v>0.94</v>
      </c>
    </row>
    <row r="64" spans="1:20">
      <c r="A64">
        <v>60</v>
      </c>
      <c r="B64" s="4">
        <v>46294.609930555554</v>
      </c>
      <c r="C64" s="5">
        <v>46294</v>
      </c>
      <c r="D64" s="6">
        <v>2.6099305555555556</v>
      </c>
      <c r="E64" s="5">
        <v>46294</v>
      </c>
      <c r="F64" t="s">
        <v>24</v>
      </c>
      <c r="G64" t="s">
        <v>25</v>
      </c>
      <c r="H64" t="s">
        <v>26</v>
      </c>
      <c r="I64" t="s">
        <v>27</v>
      </c>
      <c r="J64" t="s">
        <v>27</v>
      </c>
      <c r="K64" t="s">
        <v>131</v>
      </c>
      <c r="L64" s="2" t="s">
        <v>124</v>
      </c>
      <c r="M64" s="8" t="s">
        <v>125</v>
      </c>
      <c r="N64" s="7">
        <v>1.08</v>
      </c>
      <c r="O64" s="2">
        <v>2</v>
      </c>
      <c r="P64" s="7">
        <v>2.16</v>
      </c>
      <c r="Q64" s="7">
        <v>0</v>
      </c>
      <c r="R64" s="7">
        <v>0.34</v>
      </c>
      <c r="S64" s="7">
        <v>2.1</v>
      </c>
      <c r="T64" s="7">
        <v>2.5</v>
      </c>
    </row>
    <row r="65" spans="1:22">
      <c r="A65">
        <v>61</v>
      </c>
      <c r="B65" s="4">
        <v>46294.61377314815</v>
      </c>
      <c r="C65" s="5">
        <v>46294</v>
      </c>
      <c r="D65" s="6">
        <v>2.6137731481481481</v>
      </c>
      <c r="E65" s="5">
        <v>46294</v>
      </c>
      <c r="F65" t="s">
        <v>24</v>
      </c>
      <c r="G65" t="s">
        <v>25</v>
      </c>
      <c r="H65" t="s">
        <v>26</v>
      </c>
      <c r="I65" t="s">
        <v>27</v>
      </c>
      <c r="J65" t="s">
        <v>27</v>
      </c>
      <c r="K65" t="s">
        <v>132</v>
      </c>
      <c r="L65" s="2" t="s">
        <v>50</v>
      </c>
      <c r="M65" s="8" t="s">
        <v>51</v>
      </c>
      <c r="N65" s="7">
        <v>0.43</v>
      </c>
      <c r="O65" s="2">
        <v>1</v>
      </c>
      <c r="P65" s="7">
        <v>0.43</v>
      </c>
      <c r="Q65" s="7">
        <v>0</v>
      </c>
      <c r="R65" s="7">
        <v>7.0000000000000007E-2</v>
      </c>
      <c r="S65" s="7">
        <v>0.41</v>
      </c>
      <c r="T65" s="7">
        <v>0.5</v>
      </c>
    </row>
    <row r="66" spans="1:22">
      <c r="A66">
        <v>62</v>
      </c>
      <c r="B66" s="4">
        <v>46294.621238425927</v>
      </c>
      <c r="C66" s="5">
        <v>46294</v>
      </c>
      <c r="D66" s="6">
        <v>2.621238425925926</v>
      </c>
      <c r="E66" s="5">
        <v>46294</v>
      </c>
      <c r="F66" t="s">
        <v>24</v>
      </c>
      <c r="G66" t="s">
        <v>25</v>
      </c>
      <c r="H66" t="s">
        <v>26</v>
      </c>
      <c r="I66" t="s">
        <v>27</v>
      </c>
      <c r="J66" t="s">
        <v>27</v>
      </c>
      <c r="K66" t="s">
        <v>133</v>
      </c>
      <c r="L66" s="2" t="s">
        <v>53</v>
      </c>
      <c r="M66" s="8" t="s">
        <v>54</v>
      </c>
      <c r="N66" s="7">
        <v>0.38</v>
      </c>
      <c r="O66" s="2">
        <v>1</v>
      </c>
      <c r="P66" s="7">
        <v>0.38</v>
      </c>
      <c r="Q66" s="7">
        <v>0</v>
      </c>
      <c r="R66" s="7">
        <v>0.06</v>
      </c>
      <c r="S66" s="7">
        <v>0.3</v>
      </c>
      <c r="T66" s="7">
        <v>0.44</v>
      </c>
    </row>
    <row r="67" spans="1:22">
      <c r="A67">
        <v>63</v>
      </c>
      <c r="B67" s="4">
        <v>46294.621238425927</v>
      </c>
      <c r="C67" s="5">
        <v>46294</v>
      </c>
      <c r="D67" s="6">
        <v>2.6216782407407409</v>
      </c>
      <c r="E67" s="5">
        <v>46294</v>
      </c>
      <c r="F67" t="s">
        <v>24</v>
      </c>
      <c r="G67" t="s">
        <v>25</v>
      </c>
      <c r="H67" t="s">
        <v>26</v>
      </c>
      <c r="I67" t="s">
        <v>27</v>
      </c>
      <c r="J67" t="s">
        <v>27</v>
      </c>
      <c r="K67" t="s">
        <v>133</v>
      </c>
      <c r="L67" s="2" t="s">
        <v>47</v>
      </c>
      <c r="M67" s="8" t="s">
        <v>48</v>
      </c>
      <c r="N67" s="7">
        <v>0.05</v>
      </c>
      <c r="O67" s="2">
        <v>3</v>
      </c>
      <c r="P67" s="7">
        <v>0.15</v>
      </c>
      <c r="Q67" s="7">
        <v>0</v>
      </c>
      <c r="R67" s="7">
        <v>0.02</v>
      </c>
      <c r="S67" s="7">
        <v>7.0000000000000007E-2</v>
      </c>
      <c r="T67" s="7">
        <v>0.17</v>
      </c>
    </row>
    <row r="68" spans="1:22">
      <c r="A68">
        <v>64</v>
      </c>
      <c r="B68" s="4">
        <v>46294.637048611112</v>
      </c>
      <c r="C68" s="5">
        <v>46294</v>
      </c>
      <c r="D68" s="6">
        <v>2.6370486111111111</v>
      </c>
      <c r="E68" s="5">
        <v>46294</v>
      </c>
      <c r="F68" t="s">
        <v>24</v>
      </c>
      <c r="G68" t="s">
        <v>25</v>
      </c>
      <c r="H68" t="s">
        <v>26</v>
      </c>
      <c r="I68" t="s">
        <v>27</v>
      </c>
      <c r="J68" t="s">
        <v>27</v>
      </c>
      <c r="K68" t="s">
        <v>134</v>
      </c>
      <c r="L68" s="2" t="s">
        <v>53</v>
      </c>
      <c r="M68" s="8" t="s">
        <v>54</v>
      </c>
      <c r="N68" s="7">
        <v>0.38</v>
      </c>
      <c r="O68" s="2">
        <v>1</v>
      </c>
      <c r="P68" s="7">
        <v>0.38</v>
      </c>
      <c r="Q68" s="7">
        <v>0</v>
      </c>
      <c r="R68" s="7">
        <v>0.06</v>
      </c>
      <c r="S68" s="7">
        <v>0.3</v>
      </c>
      <c r="T68" s="7">
        <v>0.44</v>
      </c>
    </row>
    <row r="69" spans="1:22">
      <c r="A69">
        <v>65</v>
      </c>
      <c r="B69" s="4">
        <v>46294.637048611112</v>
      </c>
      <c r="C69" s="5">
        <v>46294</v>
      </c>
      <c r="D69" s="6">
        <v>2.637673611111111</v>
      </c>
      <c r="E69" s="5">
        <v>46294</v>
      </c>
      <c r="F69" t="s">
        <v>24</v>
      </c>
      <c r="G69" t="s">
        <v>25</v>
      </c>
      <c r="H69" t="s">
        <v>26</v>
      </c>
      <c r="I69" t="s">
        <v>27</v>
      </c>
      <c r="J69" t="s">
        <v>27</v>
      </c>
      <c r="K69" t="s">
        <v>134</v>
      </c>
      <c r="L69" s="2" t="s">
        <v>38</v>
      </c>
      <c r="M69" s="8" t="s">
        <v>39</v>
      </c>
      <c r="N69" s="7">
        <v>0.03</v>
      </c>
      <c r="O69" s="2">
        <v>3</v>
      </c>
      <c r="P69" s="7">
        <v>0.09</v>
      </c>
      <c r="Q69" s="7">
        <v>0</v>
      </c>
      <c r="R69" s="7">
        <v>0.01</v>
      </c>
      <c r="S69" s="7">
        <v>0.03</v>
      </c>
      <c r="T69" s="7">
        <v>0.1</v>
      </c>
    </row>
    <row r="70" spans="1:22">
      <c r="A70">
        <v>66</v>
      </c>
      <c r="B70" s="4">
        <v>46294.653182870374</v>
      </c>
      <c r="C70" s="5">
        <v>46294</v>
      </c>
      <c r="D70" s="6">
        <v>2.6531828703703701</v>
      </c>
      <c r="E70" s="5">
        <v>46294</v>
      </c>
      <c r="F70" t="s">
        <v>24</v>
      </c>
      <c r="G70" t="s">
        <v>25</v>
      </c>
      <c r="H70" t="s">
        <v>26</v>
      </c>
      <c r="I70" t="s">
        <v>27</v>
      </c>
      <c r="J70" t="s">
        <v>27</v>
      </c>
      <c r="K70" t="s">
        <v>135</v>
      </c>
      <c r="L70" s="2" t="s">
        <v>47</v>
      </c>
      <c r="M70" s="8" t="s">
        <v>48</v>
      </c>
      <c r="N70" s="7">
        <v>0.05</v>
      </c>
      <c r="O70" s="2">
        <v>1</v>
      </c>
      <c r="P70" s="7">
        <v>0.05</v>
      </c>
      <c r="Q70" s="7">
        <v>0</v>
      </c>
      <c r="R70" s="7">
        <v>0.01</v>
      </c>
      <c r="S70" s="7">
        <v>0.02</v>
      </c>
      <c r="T70" s="7">
        <v>0.06</v>
      </c>
    </row>
    <row r="71" spans="1:22">
      <c r="A71">
        <v>67</v>
      </c>
      <c r="B71" s="4">
        <v>46294.65996527778</v>
      </c>
      <c r="C71" s="5">
        <v>46294</v>
      </c>
      <c r="D71" s="6">
        <v>2.6599652777777778</v>
      </c>
      <c r="E71" s="5">
        <v>46294</v>
      </c>
      <c r="F71" t="s">
        <v>24</v>
      </c>
      <c r="G71" t="s">
        <v>25</v>
      </c>
      <c r="H71" t="s">
        <v>26</v>
      </c>
      <c r="I71" t="s">
        <v>27</v>
      </c>
      <c r="J71" t="s">
        <v>27</v>
      </c>
      <c r="K71" t="s">
        <v>136</v>
      </c>
      <c r="L71" s="2" t="s">
        <v>90</v>
      </c>
      <c r="M71" s="8" t="s">
        <v>91</v>
      </c>
      <c r="N71" s="7">
        <v>1.08</v>
      </c>
      <c r="O71" s="2">
        <v>1</v>
      </c>
      <c r="P71" s="7">
        <v>1.08</v>
      </c>
      <c r="Q71" s="7">
        <v>0</v>
      </c>
      <c r="R71" s="7">
        <v>0.17</v>
      </c>
      <c r="S71" s="7">
        <v>1.04</v>
      </c>
      <c r="T71" s="7">
        <v>1.25</v>
      </c>
    </row>
    <row r="72" spans="1:22">
      <c r="A72">
        <v>68</v>
      </c>
      <c r="B72" s="4">
        <v>46294.65996527778</v>
      </c>
      <c r="C72" s="5">
        <v>46294</v>
      </c>
      <c r="D72" s="6">
        <v>2.6601273148148148</v>
      </c>
      <c r="E72" s="5">
        <v>46294</v>
      </c>
      <c r="F72" t="s">
        <v>24</v>
      </c>
      <c r="G72" t="s">
        <v>25</v>
      </c>
      <c r="H72" t="s">
        <v>26</v>
      </c>
      <c r="I72" t="s">
        <v>27</v>
      </c>
      <c r="J72" t="s">
        <v>27</v>
      </c>
      <c r="K72" t="s">
        <v>136</v>
      </c>
      <c r="L72" s="2" t="s">
        <v>53</v>
      </c>
      <c r="M72" s="8" t="s">
        <v>54</v>
      </c>
      <c r="N72" s="7">
        <v>0.38</v>
      </c>
      <c r="O72" s="2">
        <v>2</v>
      </c>
      <c r="P72" s="7">
        <v>0.76</v>
      </c>
      <c r="Q72" s="7">
        <v>0</v>
      </c>
      <c r="R72" s="7">
        <v>0.12</v>
      </c>
      <c r="S72" s="7">
        <v>0.59</v>
      </c>
      <c r="T72" s="7">
        <v>0.88</v>
      </c>
    </row>
    <row r="73" spans="1:22">
      <c r="A73">
        <v>69</v>
      </c>
      <c r="B73" s="4">
        <v>46294.66134259259</v>
      </c>
      <c r="C73" s="5">
        <v>46294</v>
      </c>
      <c r="D73" s="6">
        <v>2.6613425925925926</v>
      </c>
      <c r="E73" s="5">
        <v>46294</v>
      </c>
      <c r="F73" t="s">
        <v>24</v>
      </c>
      <c r="G73" t="s">
        <v>25</v>
      </c>
      <c r="H73" t="s">
        <v>26</v>
      </c>
      <c r="I73" t="s">
        <v>27</v>
      </c>
      <c r="J73" t="s">
        <v>27</v>
      </c>
      <c r="K73" t="s">
        <v>137</v>
      </c>
      <c r="L73" s="2" t="s">
        <v>56</v>
      </c>
      <c r="M73" s="8" t="s">
        <v>57</v>
      </c>
      <c r="N73" s="7">
        <v>0.27</v>
      </c>
      <c r="O73" s="2">
        <v>2</v>
      </c>
      <c r="P73" s="7">
        <v>0.54</v>
      </c>
      <c r="Q73" s="7">
        <v>0</v>
      </c>
      <c r="R73" s="7">
        <v>0.08</v>
      </c>
      <c r="S73" s="7">
        <v>0.38</v>
      </c>
      <c r="T73" s="7">
        <v>0.62</v>
      </c>
      <c r="U73">
        <v>1</v>
      </c>
      <c r="V73">
        <v>1</v>
      </c>
    </row>
    <row r="74" spans="1:22">
      <c r="A74">
        <v>70</v>
      </c>
      <c r="B74" s="4">
        <v>46294.66134259259</v>
      </c>
      <c r="C74" s="5">
        <v>46294</v>
      </c>
      <c r="D74" s="6">
        <v>2.6640277777777777</v>
      </c>
      <c r="E74" s="5">
        <v>46294</v>
      </c>
      <c r="F74" t="s">
        <v>24</v>
      </c>
      <c r="G74" t="s">
        <v>25</v>
      </c>
      <c r="H74" t="s">
        <v>26</v>
      </c>
      <c r="I74" t="s">
        <v>27</v>
      </c>
      <c r="J74" t="s">
        <v>27</v>
      </c>
      <c r="K74" t="s">
        <v>137</v>
      </c>
      <c r="L74" s="2" t="s">
        <v>53</v>
      </c>
      <c r="M74" s="8" t="s">
        <v>54</v>
      </c>
      <c r="N74" s="7">
        <v>0.38</v>
      </c>
      <c r="O74" s="2">
        <v>4</v>
      </c>
      <c r="P74" s="7">
        <v>1.52</v>
      </c>
      <c r="Q74" s="7">
        <v>0</v>
      </c>
      <c r="R74" s="7">
        <v>0.24</v>
      </c>
      <c r="S74" s="7">
        <v>1.19</v>
      </c>
      <c r="T74" s="7">
        <v>1.76</v>
      </c>
      <c r="U74">
        <v>1</v>
      </c>
      <c r="V74">
        <v>1</v>
      </c>
    </row>
    <row r="75" spans="1:22">
      <c r="A75">
        <v>71</v>
      </c>
      <c r="B75" s="4">
        <v>46294.66134259259</v>
      </c>
      <c r="C75" s="5">
        <v>46294</v>
      </c>
      <c r="D75" s="6">
        <v>2.6652430555555555</v>
      </c>
      <c r="E75" s="5">
        <v>46294</v>
      </c>
      <c r="F75" t="s">
        <v>24</v>
      </c>
      <c r="G75" t="s">
        <v>25</v>
      </c>
      <c r="H75" t="s">
        <v>26</v>
      </c>
      <c r="I75" t="s">
        <v>27</v>
      </c>
      <c r="J75" t="s">
        <v>27</v>
      </c>
      <c r="K75" t="s">
        <v>137</v>
      </c>
      <c r="L75" s="2" t="s">
        <v>38</v>
      </c>
      <c r="M75" s="8" t="s">
        <v>39</v>
      </c>
      <c r="N75" s="7">
        <v>0.03</v>
      </c>
      <c r="O75" s="2">
        <v>2</v>
      </c>
      <c r="P75" s="7">
        <v>0.06</v>
      </c>
      <c r="Q75" s="7">
        <v>0</v>
      </c>
      <c r="R75" s="7">
        <v>0.01</v>
      </c>
      <c r="S75" s="7">
        <v>0.02</v>
      </c>
      <c r="T75" s="7">
        <v>7.0000000000000007E-2</v>
      </c>
      <c r="U75">
        <v>1</v>
      </c>
      <c r="V75">
        <v>1</v>
      </c>
    </row>
    <row r="76" spans="1:22">
      <c r="A76">
        <v>72</v>
      </c>
      <c r="B76" s="4">
        <v>46294.66134259259</v>
      </c>
      <c r="C76" s="5">
        <v>46294</v>
      </c>
      <c r="D76" s="6">
        <v>2.67</v>
      </c>
      <c r="E76" s="5">
        <v>46294</v>
      </c>
      <c r="F76" t="s">
        <v>24</v>
      </c>
      <c r="G76" t="s">
        <v>25</v>
      </c>
      <c r="H76" t="s">
        <v>26</v>
      </c>
      <c r="I76" t="s">
        <v>27</v>
      </c>
      <c r="J76" t="s">
        <v>27</v>
      </c>
      <c r="K76" t="s">
        <v>137</v>
      </c>
      <c r="L76" s="2" t="s">
        <v>109</v>
      </c>
      <c r="M76" s="8" t="s">
        <v>110</v>
      </c>
      <c r="N76" s="7">
        <v>1.08</v>
      </c>
      <c r="O76" s="2">
        <v>1</v>
      </c>
      <c r="P76" s="7">
        <v>1.08</v>
      </c>
      <c r="Q76" s="7">
        <v>0</v>
      </c>
      <c r="R76" s="7">
        <v>0.17</v>
      </c>
      <c r="S76" s="7">
        <v>0.26</v>
      </c>
      <c r="T76" s="7">
        <v>1.25</v>
      </c>
      <c r="U76">
        <v>1</v>
      </c>
      <c r="V76">
        <v>1</v>
      </c>
    </row>
    <row r="77" spans="1:22">
      <c r="A77">
        <v>73</v>
      </c>
      <c r="B77" s="4">
        <v>46294.66134259259</v>
      </c>
      <c r="C77" s="5">
        <v>46294</v>
      </c>
      <c r="D77" s="6">
        <v>2.6705092592592594</v>
      </c>
      <c r="E77" s="5">
        <v>46294</v>
      </c>
      <c r="F77" t="s">
        <v>24</v>
      </c>
      <c r="G77" t="s">
        <v>25</v>
      </c>
      <c r="H77" t="s">
        <v>26</v>
      </c>
      <c r="I77" t="s">
        <v>27</v>
      </c>
      <c r="J77" t="s">
        <v>27</v>
      </c>
      <c r="K77" t="s">
        <v>137</v>
      </c>
      <c r="L77" s="2" t="s">
        <v>127</v>
      </c>
      <c r="M77" s="8" t="s">
        <v>128</v>
      </c>
      <c r="N77" s="7">
        <v>2.16</v>
      </c>
      <c r="O77" s="2">
        <v>1</v>
      </c>
      <c r="P77" s="7">
        <v>2.16</v>
      </c>
      <c r="Q77" s="7">
        <v>0</v>
      </c>
      <c r="R77" s="7">
        <v>0.34</v>
      </c>
      <c r="S77" s="7">
        <v>2.09</v>
      </c>
      <c r="T77" s="7">
        <v>2.5</v>
      </c>
      <c r="U77">
        <v>1</v>
      </c>
      <c r="V77">
        <v>1</v>
      </c>
    </row>
    <row r="78" spans="1:22">
      <c r="A78">
        <v>74</v>
      </c>
      <c r="B78" s="4">
        <v>46294.685428240744</v>
      </c>
      <c r="C78" s="5">
        <v>46294</v>
      </c>
      <c r="D78" s="6">
        <v>2.6854282407407406</v>
      </c>
      <c r="E78" s="5">
        <v>46294</v>
      </c>
      <c r="F78" t="s">
        <v>24</v>
      </c>
      <c r="G78" t="s">
        <v>25</v>
      </c>
      <c r="H78" t="s">
        <v>26</v>
      </c>
      <c r="I78" t="s">
        <v>27</v>
      </c>
      <c r="J78" t="s">
        <v>27</v>
      </c>
      <c r="K78" t="s">
        <v>138</v>
      </c>
      <c r="L78" s="2" t="s">
        <v>35</v>
      </c>
      <c r="M78" s="8" t="s">
        <v>36</v>
      </c>
      <c r="N78" s="7">
        <v>0.81</v>
      </c>
      <c r="O78" s="2">
        <v>1</v>
      </c>
      <c r="P78" s="7">
        <v>0.81</v>
      </c>
      <c r="Q78" s="7">
        <v>0</v>
      </c>
      <c r="R78" s="7">
        <v>0.13</v>
      </c>
      <c r="S78" s="7">
        <v>0.38</v>
      </c>
      <c r="T78" s="7">
        <v>0.94</v>
      </c>
      <c r="U78">
        <v>1</v>
      </c>
      <c r="V78">
        <v>1</v>
      </c>
    </row>
    <row r="79" spans="1:22">
      <c r="A79">
        <v>75</v>
      </c>
      <c r="B79" s="4">
        <v>46294.685428240744</v>
      </c>
      <c r="C79" s="5">
        <v>46294</v>
      </c>
      <c r="D79" s="6">
        <v>2.6855787037037038</v>
      </c>
      <c r="E79" s="5">
        <v>46294</v>
      </c>
      <c r="F79" t="s">
        <v>24</v>
      </c>
      <c r="G79" t="s">
        <v>25</v>
      </c>
      <c r="H79" t="s">
        <v>26</v>
      </c>
      <c r="I79" t="s">
        <v>27</v>
      </c>
      <c r="J79" t="s">
        <v>27</v>
      </c>
      <c r="K79" t="s">
        <v>138</v>
      </c>
      <c r="L79" s="2" t="s">
        <v>109</v>
      </c>
      <c r="M79" s="8" t="s">
        <v>110</v>
      </c>
      <c r="N79" s="7">
        <v>1.08</v>
      </c>
      <c r="O79" s="2">
        <v>1</v>
      </c>
      <c r="P79" s="7">
        <v>1.08</v>
      </c>
      <c r="Q79" s="7">
        <v>0</v>
      </c>
      <c r="R79" s="7">
        <v>0.17</v>
      </c>
      <c r="S79" s="7">
        <v>0.26</v>
      </c>
      <c r="T79" s="7">
        <v>1.25</v>
      </c>
      <c r="U79">
        <v>1</v>
      </c>
      <c r="V79">
        <v>1</v>
      </c>
    </row>
    <row r="80" spans="1:22">
      <c r="A80">
        <v>76</v>
      </c>
      <c r="B80" s="4">
        <v>46294.685428240744</v>
      </c>
      <c r="C80" s="5">
        <v>46294</v>
      </c>
      <c r="D80" s="6">
        <v>2.6937847222222224</v>
      </c>
      <c r="E80" s="5">
        <v>46294</v>
      </c>
      <c r="F80" t="s">
        <v>24</v>
      </c>
      <c r="G80" t="s">
        <v>25</v>
      </c>
      <c r="H80" t="s">
        <v>26</v>
      </c>
      <c r="I80" t="s">
        <v>27</v>
      </c>
      <c r="J80" t="s">
        <v>27</v>
      </c>
      <c r="K80" t="s">
        <v>138</v>
      </c>
      <c r="L80" s="2" t="s">
        <v>50</v>
      </c>
      <c r="M80" s="8" t="s">
        <v>51</v>
      </c>
      <c r="N80" s="7">
        <v>0.43</v>
      </c>
      <c r="O80" s="2">
        <v>1</v>
      </c>
      <c r="P80" s="7">
        <v>0.43</v>
      </c>
      <c r="Q80" s="7">
        <v>0</v>
      </c>
      <c r="R80" s="7">
        <v>7.0000000000000007E-2</v>
      </c>
      <c r="S80" s="7">
        <v>0.41</v>
      </c>
      <c r="T80" s="7">
        <v>0.5</v>
      </c>
      <c r="U80">
        <v>1</v>
      </c>
      <c r="V80">
        <v>1</v>
      </c>
    </row>
    <row r="81" spans="1:22">
      <c r="A81">
        <v>77</v>
      </c>
      <c r="B81" s="4">
        <v>46294.731678240743</v>
      </c>
      <c r="C81" s="5">
        <v>46294</v>
      </c>
      <c r="D81" s="6">
        <v>2.7316782407407407</v>
      </c>
      <c r="E81" s="5">
        <v>46294</v>
      </c>
      <c r="F81" t="s">
        <v>24</v>
      </c>
      <c r="G81" t="s">
        <v>25</v>
      </c>
      <c r="H81" t="s">
        <v>26</v>
      </c>
      <c r="I81" t="s">
        <v>27</v>
      </c>
      <c r="J81" t="s">
        <v>27</v>
      </c>
      <c r="K81" t="s">
        <v>139</v>
      </c>
      <c r="L81" s="2" t="s">
        <v>140</v>
      </c>
      <c r="M81" s="8" t="s">
        <v>141</v>
      </c>
      <c r="N81" s="7">
        <v>0.55000000000000004</v>
      </c>
      <c r="O81" s="2">
        <v>1</v>
      </c>
      <c r="P81" s="7">
        <v>0.55000000000000004</v>
      </c>
      <c r="Q81" s="7">
        <v>0</v>
      </c>
      <c r="R81" s="7">
        <v>0.08</v>
      </c>
      <c r="S81" s="7">
        <v>0.53</v>
      </c>
      <c r="T81" s="7">
        <v>0.63</v>
      </c>
      <c r="U81">
        <v>1</v>
      </c>
      <c r="V81">
        <v>1</v>
      </c>
    </row>
    <row r="82" spans="1:22">
      <c r="A82">
        <v>78</v>
      </c>
      <c r="B82" s="4">
        <v>46294.734537037039</v>
      </c>
      <c r="C82" s="5">
        <v>46294</v>
      </c>
      <c r="D82" s="6">
        <v>2.734537037037037</v>
      </c>
      <c r="E82" s="5">
        <v>46294</v>
      </c>
      <c r="F82" t="s">
        <v>24</v>
      </c>
      <c r="G82" t="s">
        <v>25</v>
      </c>
      <c r="H82" t="s">
        <v>26</v>
      </c>
      <c r="I82" t="s">
        <v>27</v>
      </c>
      <c r="J82" t="s">
        <v>27</v>
      </c>
      <c r="K82" t="s">
        <v>142</v>
      </c>
      <c r="L82" s="2" t="s">
        <v>109</v>
      </c>
      <c r="M82" s="8" t="s">
        <v>110</v>
      </c>
      <c r="N82" s="7">
        <v>1.08</v>
      </c>
      <c r="O82" s="2">
        <v>2</v>
      </c>
      <c r="P82" s="7">
        <v>2.16</v>
      </c>
      <c r="Q82" s="7">
        <v>0</v>
      </c>
      <c r="R82" s="7">
        <v>0.34</v>
      </c>
      <c r="S82" s="7">
        <v>0.51</v>
      </c>
      <c r="T82" s="7">
        <v>2.5</v>
      </c>
      <c r="U82">
        <v>1</v>
      </c>
      <c r="V82">
        <v>1</v>
      </c>
    </row>
    <row r="83" spans="1:22">
      <c r="A83">
        <v>79</v>
      </c>
      <c r="B83" s="4">
        <v>46294.734537037039</v>
      </c>
      <c r="C83" s="5">
        <v>46294</v>
      </c>
      <c r="D83" s="6">
        <v>2.7348263888888891</v>
      </c>
      <c r="E83" s="5">
        <v>46294</v>
      </c>
      <c r="F83" t="s">
        <v>24</v>
      </c>
      <c r="G83" t="s">
        <v>25</v>
      </c>
      <c r="H83" t="s">
        <v>26</v>
      </c>
      <c r="I83" t="s">
        <v>27</v>
      </c>
      <c r="J83" t="s">
        <v>27</v>
      </c>
      <c r="K83" t="s">
        <v>142</v>
      </c>
      <c r="L83" s="2" t="s">
        <v>140</v>
      </c>
      <c r="M83" s="8" t="s">
        <v>141</v>
      </c>
      <c r="N83" s="7">
        <v>0.55000000000000004</v>
      </c>
      <c r="O83" s="2">
        <v>1</v>
      </c>
      <c r="P83" s="7">
        <v>0.55000000000000004</v>
      </c>
      <c r="Q83" s="7">
        <v>0</v>
      </c>
      <c r="R83" s="7">
        <v>0.08</v>
      </c>
      <c r="S83" s="7">
        <v>0.53</v>
      </c>
      <c r="T83" s="7">
        <v>0.63</v>
      </c>
      <c r="U83">
        <v>1</v>
      </c>
      <c r="V83">
        <v>1</v>
      </c>
    </row>
    <row r="84" spans="1:22">
      <c r="A84">
        <v>80</v>
      </c>
      <c r="B84" s="4">
        <v>46294.734537037039</v>
      </c>
      <c r="C84" s="5">
        <v>46294</v>
      </c>
      <c r="D84" s="6">
        <v>2.7353009259259258</v>
      </c>
      <c r="E84" s="5">
        <v>46294</v>
      </c>
      <c r="F84" t="s">
        <v>24</v>
      </c>
      <c r="G84" t="s">
        <v>25</v>
      </c>
      <c r="H84" t="s">
        <v>26</v>
      </c>
      <c r="I84" t="s">
        <v>27</v>
      </c>
      <c r="J84" t="s">
        <v>27</v>
      </c>
      <c r="K84" t="s">
        <v>142</v>
      </c>
      <c r="L84" s="2" t="s">
        <v>143</v>
      </c>
      <c r="M84" s="8" t="s">
        <v>144</v>
      </c>
      <c r="N84" s="7">
        <v>1.25</v>
      </c>
      <c r="O84" s="2">
        <v>2</v>
      </c>
      <c r="P84" s="7">
        <v>2.5</v>
      </c>
      <c r="Q84" s="7">
        <v>0</v>
      </c>
      <c r="R84" s="7">
        <v>0</v>
      </c>
      <c r="S84" s="7">
        <v>2.41</v>
      </c>
      <c r="T84" s="7">
        <v>2.5</v>
      </c>
      <c r="U84">
        <v>1</v>
      </c>
      <c r="V84">
        <v>1</v>
      </c>
    </row>
    <row r="85" spans="1:22">
      <c r="A85">
        <v>81</v>
      </c>
      <c r="B85" s="4">
        <v>46294.734537037039</v>
      </c>
      <c r="C85" s="5">
        <v>46294</v>
      </c>
      <c r="D85" s="6">
        <v>2.7353819444444443</v>
      </c>
      <c r="E85" s="5">
        <v>46294</v>
      </c>
      <c r="F85" t="s">
        <v>24</v>
      </c>
      <c r="G85" t="s">
        <v>25</v>
      </c>
      <c r="H85" t="s">
        <v>26</v>
      </c>
      <c r="I85" t="s">
        <v>27</v>
      </c>
      <c r="J85" t="s">
        <v>27</v>
      </c>
      <c r="K85" t="s">
        <v>142</v>
      </c>
      <c r="L85" s="2" t="s">
        <v>47</v>
      </c>
      <c r="M85" s="8" t="s">
        <v>48</v>
      </c>
      <c r="N85" s="7">
        <v>0.05</v>
      </c>
      <c r="O85" s="2">
        <v>10</v>
      </c>
      <c r="P85" s="7">
        <v>0.5</v>
      </c>
      <c r="Q85" s="7">
        <v>0</v>
      </c>
      <c r="R85" s="7">
        <v>0.08</v>
      </c>
      <c r="S85" s="7">
        <v>0.23</v>
      </c>
      <c r="T85" s="7">
        <v>0.57999999999999996</v>
      </c>
      <c r="U85">
        <v>1</v>
      </c>
      <c r="V85">
        <v>1</v>
      </c>
    </row>
    <row r="86" spans="1:22">
      <c r="A86">
        <v>82</v>
      </c>
      <c r="B86" s="4">
        <v>46294.741967592592</v>
      </c>
      <c r="C86" s="5">
        <v>46294</v>
      </c>
      <c r="D86" s="6">
        <v>2.7419560185185183</v>
      </c>
      <c r="E86" s="5">
        <v>46294</v>
      </c>
      <c r="F86" t="s">
        <v>24</v>
      </c>
      <c r="G86" t="s">
        <v>25</v>
      </c>
      <c r="H86" t="s">
        <v>26</v>
      </c>
      <c r="I86" t="s">
        <v>27</v>
      </c>
      <c r="J86" t="s">
        <v>27</v>
      </c>
      <c r="K86" t="s">
        <v>145</v>
      </c>
      <c r="L86" s="2" t="s">
        <v>146</v>
      </c>
      <c r="M86" s="8" t="s">
        <v>147</v>
      </c>
      <c r="N86" s="7">
        <v>2.16</v>
      </c>
      <c r="O86" s="2">
        <v>1</v>
      </c>
      <c r="P86" s="7">
        <v>2.16</v>
      </c>
      <c r="Q86" s="7">
        <v>0</v>
      </c>
      <c r="R86" s="7">
        <v>0.34</v>
      </c>
      <c r="S86" s="7">
        <v>2.09</v>
      </c>
      <c r="T86" s="7">
        <v>2.5</v>
      </c>
      <c r="U86">
        <v>1</v>
      </c>
      <c r="V86">
        <v>1</v>
      </c>
    </row>
    <row r="87" spans="1:22">
      <c r="A87">
        <v>83</v>
      </c>
      <c r="B87" s="4">
        <v>46294.760358796295</v>
      </c>
      <c r="C87" s="5">
        <v>46294</v>
      </c>
      <c r="D87" s="6">
        <v>2.7603472222222223</v>
      </c>
      <c r="E87" s="5">
        <v>46294</v>
      </c>
      <c r="F87" t="s">
        <v>24</v>
      </c>
      <c r="G87" t="s">
        <v>25</v>
      </c>
      <c r="H87" t="s">
        <v>26</v>
      </c>
      <c r="I87" t="s">
        <v>27</v>
      </c>
      <c r="J87" t="s">
        <v>27</v>
      </c>
      <c r="K87" t="s">
        <v>148</v>
      </c>
      <c r="L87" s="2" t="s">
        <v>149</v>
      </c>
      <c r="M87" s="8" t="s">
        <v>150</v>
      </c>
      <c r="N87" s="7">
        <v>0.55000000000000004</v>
      </c>
      <c r="O87" s="2">
        <v>2</v>
      </c>
      <c r="P87" s="7">
        <v>1.1000000000000001</v>
      </c>
      <c r="Q87" s="7">
        <v>0</v>
      </c>
      <c r="R87" s="7">
        <v>0.17</v>
      </c>
      <c r="S87" s="7">
        <v>1.07</v>
      </c>
      <c r="T87" s="7">
        <v>1.27</v>
      </c>
      <c r="U87">
        <v>1</v>
      </c>
      <c r="V87">
        <v>1</v>
      </c>
    </row>
    <row r="88" spans="1:22">
      <c r="A88">
        <v>84</v>
      </c>
      <c r="B88" s="4">
        <v>46294.760358796295</v>
      </c>
      <c r="C88" s="5">
        <v>46294</v>
      </c>
      <c r="D88" s="6">
        <v>2.7605092592592593</v>
      </c>
      <c r="E88" s="5">
        <v>46294</v>
      </c>
      <c r="F88" t="s">
        <v>24</v>
      </c>
      <c r="G88" t="s">
        <v>25</v>
      </c>
      <c r="H88" t="s">
        <v>26</v>
      </c>
      <c r="I88" t="s">
        <v>27</v>
      </c>
      <c r="J88" t="s">
        <v>27</v>
      </c>
      <c r="K88" t="s">
        <v>148</v>
      </c>
      <c r="L88" s="2" t="s">
        <v>151</v>
      </c>
      <c r="M88" s="8" t="s">
        <v>152</v>
      </c>
      <c r="N88" s="7">
        <v>0.27</v>
      </c>
      <c r="O88" s="2">
        <v>1</v>
      </c>
      <c r="P88" s="7">
        <v>0.27</v>
      </c>
      <c r="Q88" s="7">
        <v>0</v>
      </c>
      <c r="R88" s="7">
        <v>0.04</v>
      </c>
      <c r="S88" s="7">
        <v>0.14000000000000001</v>
      </c>
      <c r="T88" s="7">
        <v>0.31</v>
      </c>
      <c r="U88">
        <v>1</v>
      </c>
      <c r="V88">
        <v>1</v>
      </c>
    </row>
    <row r="89" spans="1:22">
      <c r="A89">
        <v>85</v>
      </c>
      <c r="B89" s="4">
        <v>46294.761064814818</v>
      </c>
      <c r="C89" s="5">
        <v>46294</v>
      </c>
      <c r="D89" s="6">
        <v>2.7610532407407407</v>
      </c>
      <c r="E89" s="5">
        <v>46294</v>
      </c>
      <c r="F89" t="s">
        <v>24</v>
      </c>
      <c r="G89" t="s">
        <v>25</v>
      </c>
      <c r="H89" t="s">
        <v>26</v>
      </c>
      <c r="I89" t="s">
        <v>27</v>
      </c>
      <c r="J89" t="s">
        <v>27</v>
      </c>
      <c r="K89" t="s">
        <v>153</v>
      </c>
      <c r="L89" s="2" t="s">
        <v>143</v>
      </c>
      <c r="M89" s="8" t="s">
        <v>144</v>
      </c>
      <c r="N89" s="7">
        <v>1.25</v>
      </c>
      <c r="O89" s="2">
        <v>3</v>
      </c>
      <c r="P89" s="7">
        <v>3.75</v>
      </c>
      <c r="Q89" s="7">
        <v>0</v>
      </c>
      <c r="R89" s="7">
        <v>0</v>
      </c>
      <c r="S89" s="7">
        <v>3.62</v>
      </c>
      <c r="T89" s="7">
        <v>3.75</v>
      </c>
      <c r="U89">
        <v>1</v>
      </c>
      <c r="V89">
        <v>1</v>
      </c>
    </row>
    <row r="90" spans="1:22">
      <c r="A90">
        <v>86</v>
      </c>
      <c r="B90" s="4">
        <v>46294.761064814818</v>
      </c>
      <c r="C90" s="5">
        <v>46294</v>
      </c>
      <c r="D90" s="6">
        <v>2.7611226851851853</v>
      </c>
      <c r="E90" s="5">
        <v>46294</v>
      </c>
      <c r="F90" t="s">
        <v>24</v>
      </c>
      <c r="G90" t="s">
        <v>25</v>
      </c>
      <c r="H90" t="s">
        <v>26</v>
      </c>
      <c r="I90" t="s">
        <v>27</v>
      </c>
      <c r="J90" t="s">
        <v>27</v>
      </c>
      <c r="K90" t="s">
        <v>153</v>
      </c>
      <c r="L90" s="2" t="s">
        <v>63</v>
      </c>
      <c r="M90" s="8" t="s">
        <v>64</v>
      </c>
      <c r="N90" s="7">
        <v>1.9</v>
      </c>
      <c r="O90" s="2">
        <v>1</v>
      </c>
      <c r="P90" s="7">
        <v>1.9</v>
      </c>
      <c r="Q90" s="7">
        <v>0</v>
      </c>
      <c r="R90" s="7">
        <v>0.28999999999999998</v>
      </c>
      <c r="S90" s="7">
        <v>1.83</v>
      </c>
      <c r="T90" s="7">
        <v>2.19</v>
      </c>
      <c r="U90">
        <v>1</v>
      </c>
      <c r="V90">
        <v>1</v>
      </c>
    </row>
    <row r="91" spans="1:22">
      <c r="A91">
        <v>87</v>
      </c>
      <c r="B91" s="4">
        <v>46294.761793981481</v>
      </c>
      <c r="C91" s="5">
        <v>46294</v>
      </c>
      <c r="D91" s="6">
        <v>2.7617824074074075</v>
      </c>
      <c r="E91" s="5">
        <v>46294</v>
      </c>
      <c r="F91" t="s">
        <v>24</v>
      </c>
      <c r="G91" t="s">
        <v>25</v>
      </c>
      <c r="H91" t="s">
        <v>26</v>
      </c>
      <c r="I91" t="s">
        <v>27</v>
      </c>
      <c r="J91" t="s">
        <v>27</v>
      </c>
      <c r="K91" t="s">
        <v>154</v>
      </c>
      <c r="L91" s="2" t="s">
        <v>146</v>
      </c>
      <c r="M91" s="8" t="s">
        <v>147</v>
      </c>
      <c r="N91" s="7">
        <v>2.16</v>
      </c>
      <c r="O91" s="2">
        <v>1</v>
      </c>
      <c r="P91" s="7">
        <v>2.16</v>
      </c>
      <c r="Q91" s="7">
        <v>0</v>
      </c>
      <c r="R91" s="7">
        <v>0.34</v>
      </c>
      <c r="S91" s="7">
        <v>2.09</v>
      </c>
      <c r="T91" s="7">
        <v>2.5</v>
      </c>
      <c r="U91">
        <v>1</v>
      </c>
      <c r="V91">
        <v>1</v>
      </c>
    </row>
    <row r="92" spans="1:22">
      <c r="A92">
        <v>88</v>
      </c>
      <c r="B92" s="4">
        <v>46294.761932870373</v>
      </c>
      <c r="C92" s="5">
        <v>46294</v>
      </c>
      <c r="D92" s="6">
        <v>2.7619212962962965</v>
      </c>
      <c r="E92" s="5">
        <v>46294</v>
      </c>
      <c r="F92" t="s">
        <v>24</v>
      </c>
      <c r="G92" t="s">
        <v>25</v>
      </c>
      <c r="H92" t="s">
        <v>26</v>
      </c>
      <c r="I92" t="s">
        <v>27</v>
      </c>
      <c r="J92" t="s">
        <v>27</v>
      </c>
      <c r="K92" t="s">
        <v>155</v>
      </c>
      <c r="L92" s="2" t="s">
        <v>143</v>
      </c>
      <c r="M92" s="8" t="s">
        <v>144</v>
      </c>
      <c r="N92" s="7">
        <v>1.25</v>
      </c>
      <c r="O92" s="2">
        <v>1</v>
      </c>
      <c r="P92" s="7">
        <v>1.25</v>
      </c>
      <c r="Q92" s="7">
        <v>0</v>
      </c>
      <c r="R92" s="7">
        <v>0</v>
      </c>
      <c r="S92" s="7">
        <v>1.21</v>
      </c>
      <c r="T92" s="7">
        <v>1.25</v>
      </c>
      <c r="U92">
        <v>1</v>
      </c>
      <c r="V92">
        <v>1</v>
      </c>
    </row>
    <row r="93" spans="1:22">
      <c r="A93">
        <v>89</v>
      </c>
      <c r="B93" s="4">
        <v>46294.764930555553</v>
      </c>
      <c r="C93" s="5">
        <v>46294</v>
      </c>
      <c r="D93" s="6">
        <v>2.7649189814814816</v>
      </c>
      <c r="E93" s="5">
        <v>46294</v>
      </c>
      <c r="F93" t="s">
        <v>24</v>
      </c>
      <c r="G93" t="s">
        <v>25</v>
      </c>
      <c r="H93" t="s">
        <v>26</v>
      </c>
      <c r="I93" t="s">
        <v>27</v>
      </c>
      <c r="J93" t="s">
        <v>27</v>
      </c>
      <c r="K93" t="s">
        <v>156</v>
      </c>
      <c r="L93" s="2" t="s">
        <v>157</v>
      </c>
      <c r="M93" s="8" t="s">
        <v>158</v>
      </c>
      <c r="N93" s="7">
        <v>0.55000000000000004</v>
      </c>
      <c r="O93" s="2">
        <v>2</v>
      </c>
      <c r="P93" s="7">
        <v>1.1000000000000001</v>
      </c>
      <c r="Q93" s="7">
        <v>0</v>
      </c>
      <c r="R93" s="7">
        <v>0.17</v>
      </c>
      <c r="S93" s="7">
        <v>1.06</v>
      </c>
      <c r="T93" s="7">
        <v>1.27</v>
      </c>
      <c r="U93">
        <v>1</v>
      </c>
      <c r="V93">
        <v>1</v>
      </c>
    </row>
    <row r="94" spans="1:22">
      <c r="A94">
        <v>90</v>
      </c>
      <c r="B94" s="4">
        <v>46294.767152777778</v>
      </c>
      <c r="C94" s="5">
        <v>46294</v>
      </c>
      <c r="D94" s="6">
        <v>2.7671412037037038</v>
      </c>
      <c r="E94" s="5">
        <v>46294</v>
      </c>
      <c r="F94" t="s">
        <v>24</v>
      </c>
      <c r="G94" t="s">
        <v>25</v>
      </c>
      <c r="H94" t="s">
        <v>26</v>
      </c>
      <c r="I94" t="s">
        <v>27</v>
      </c>
      <c r="J94" t="s">
        <v>27</v>
      </c>
      <c r="K94" t="s">
        <v>159</v>
      </c>
      <c r="L94" s="2" t="s">
        <v>160</v>
      </c>
      <c r="M94" s="8" t="s">
        <v>161</v>
      </c>
      <c r="N94" s="7">
        <v>2.16</v>
      </c>
      <c r="O94" s="2">
        <v>1</v>
      </c>
      <c r="P94" s="7">
        <v>2.16</v>
      </c>
      <c r="Q94" s="7">
        <v>0</v>
      </c>
      <c r="R94" s="7">
        <v>0.34</v>
      </c>
      <c r="S94" s="7">
        <v>2.08</v>
      </c>
      <c r="T94" s="7">
        <v>2.5</v>
      </c>
      <c r="U94">
        <v>1</v>
      </c>
      <c r="V94">
        <v>1</v>
      </c>
    </row>
    <row r="95" spans="1:22">
      <c r="A95">
        <v>91</v>
      </c>
      <c r="B95" s="4">
        <v>46294.767152777778</v>
      </c>
      <c r="C95" s="5">
        <v>46294</v>
      </c>
      <c r="D95" s="6">
        <v>2.7671990740740742</v>
      </c>
      <c r="E95" s="5">
        <v>46294</v>
      </c>
      <c r="F95" t="s">
        <v>24</v>
      </c>
      <c r="G95" t="s">
        <v>25</v>
      </c>
      <c r="H95" t="s">
        <v>26</v>
      </c>
      <c r="I95" t="s">
        <v>27</v>
      </c>
      <c r="J95" t="s">
        <v>27</v>
      </c>
      <c r="K95" t="s">
        <v>159</v>
      </c>
      <c r="L95" s="2" t="s">
        <v>162</v>
      </c>
      <c r="M95" s="8" t="s">
        <v>163</v>
      </c>
      <c r="N95" s="7">
        <v>1.63</v>
      </c>
      <c r="O95" s="2">
        <v>2</v>
      </c>
      <c r="P95" s="7">
        <v>3.26</v>
      </c>
      <c r="Q95" s="7">
        <v>0</v>
      </c>
      <c r="R95" s="7">
        <v>0.5</v>
      </c>
      <c r="S95" s="7">
        <v>3.14</v>
      </c>
      <c r="T95" s="7">
        <v>3.76</v>
      </c>
      <c r="U95">
        <v>1</v>
      </c>
      <c r="V95">
        <v>1</v>
      </c>
    </row>
    <row r="96" spans="1:22">
      <c r="A96">
        <v>92</v>
      </c>
      <c r="B96" s="4">
        <v>46294.767152777778</v>
      </c>
      <c r="C96" s="5">
        <v>46294</v>
      </c>
      <c r="D96" s="6">
        <v>2.7672569444444446</v>
      </c>
      <c r="E96" s="5">
        <v>46294</v>
      </c>
      <c r="F96" t="s">
        <v>24</v>
      </c>
      <c r="G96" t="s">
        <v>25</v>
      </c>
      <c r="H96" t="s">
        <v>26</v>
      </c>
      <c r="I96" t="s">
        <v>27</v>
      </c>
      <c r="J96" t="s">
        <v>27</v>
      </c>
      <c r="K96" t="s">
        <v>159</v>
      </c>
      <c r="L96" s="2" t="s">
        <v>63</v>
      </c>
      <c r="M96" s="8" t="s">
        <v>64</v>
      </c>
      <c r="N96" s="7">
        <v>1.9</v>
      </c>
      <c r="O96" s="2">
        <v>1</v>
      </c>
      <c r="P96" s="7">
        <v>1.9</v>
      </c>
      <c r="Q96" s="7">
        <v>0</v>
      </c>
      <c r="R96" s="7">
        <v>0.28999999999999998</v>
      </c>
      <c r="S96" s="7">
        <v>1.83</v>
      </c>
      <c r="T96" s="7">
        <v>2.19</v>
      </c>
      <c r="U96">
        <v>1</v>
      </c>
      <c r="V96">
        <v>1</v>
      </c>
    </row>
    <row r="97" spans="1:22">
      <c r="A97">
        <v>93</v>
      </c>
      <c r="B97" s="4">
        <v>46294.767152777778</v>
      </c>
      <c r="C97" s="5">
        <v>46294</v>
      </c>
      <c r="D97" s="6">
        <v>2.7673263888888888</v>
      </c>
      <c r="E97" s="5">
        <v>46294</v>
      </c>
      <c r="F97" t="s">
        <v>24</v>
      </c>
      <c r="G97" t="s">
        <v>25</v>
      </c>
      <c r="H97" t="s">
        <v>26</v>
      </c>
      <c r="I97" t="s">
        <v>27</v>
      </c>
      <c r="J97" t="s">
        <v>27</v>
      </c>
      <c r="K97" t="s">
        <v>159</v>
      </c>
      <c r="L97" s="2" t="s">
        <v>157</v>
      </c>
      <c r="M97" s="8" t="s">
        <v>158</v>
      </c>
      <c r="N97" s="7">
        <v>0.55000000000000004</v>
      </c>
      <c r="O97" s="2">
        <v>2</v>
      </c>
      <c r="P97" s="7">
        <v>1.1000000000000001</v>
      </c>
      <c r="Q97" s="7">
        <v>0</v>
      </c>
      <c r="R97" s="7">
        <v>0.17</v>
      </c>
      <c r="S97" s="7">
        <v>1.06</v>
      </c>
      <c r="T97" s="7">
        <v>1.27</v>
      </c>
      <c r="U97">
        <v>1</v>
      </c>
      <c r="V97">
        <v>1</v>
      </c>
    </row>
    <row r="98" spans="1:22">
      <c r="A98">
        <v>94</v>
      </c>
      <c r="B98" s="4">
        <v>46294.767152777778</v>
      </c>
      <c r="C98" s="5">
        <v>46294</v>
      </c>
      <c r="D98" s="6">
        <v>2.7673958333333335</v>
      </c>
      <c r="E98" s="5">
        <v>46294</v>
      </c>
      <c r="F98" t="s">
        <v>24</v>
      </c>
      <c r="G98" t="s">
        <v>25</v>
      </c>
      <c r="H98" t="s">
        <v>26</v>
      </c>
      <c r="I98" t="s">
        <v>27</v>
      </c>
      <c r="J98" t="s">
        <v>27</v>
      </c>
      <c r="K98" t="s">
        <v>159</v>
      </c>
      <c r="L98" s="2" t="s">
        <v>88</v>
      </c>
      <c r="M98" s="8" t="s">
        <v>89</v>
      </c>
      <c r="N98" s="7">
        <v>0.81</v>
      </c>
      <c r="O98" s="2">
        <v>2</v>
      </c>
      <c r="P98" s="7">
        <v>1.62</v>
      </c>
      <c r="Q98" s="7">
        <v>0</v>
      </c>
      <c r="R98" s="7">
        <v>0.25</v>
      </c>
      <c r="S98" s="7">
        <v>1.57</v>
      </c>
      <c r="T98" s="7">
        <v>1.87</v>
      </c>
      <c r="U98">
        <v>1</v>
      </c>
      <c r="V98">
        <v>1</v>
      </c>
    </row>
    <row r="99" spans="1:22">
      <c r="A99">
        <v>95</v>
      </c>
      <c r="B99" s="4">
        <v>46294.767152777778</v>
      </c>
      <c r="C99" s="5">
        <v>46294</v>
      </c>
      <c r="D99" s="6">
        <v>2.7695717592592595</v>
      </c>
      <c r="E99" s="5">
        <v>46294</v>
      </c>
      <c r="F99" t="s">
        <v>24</v>
      </c>
      <c r="G99" t="s">
        <v>25</v>
      </c>
      <c r="H99" t="s">
        <v>26</v>
      </c>
      <c r="I99" t="s">
        <v>27</v>
      </c>
      <c r="J99" t="s">
        <v>27</v>
      </c>
      <c r="K99" t="s">
        <v>159</v>
      </c>
      <c r="L99" s="2" t="s">
        <v>50</v>
      </c>
      <c r="M99" s="8" t="s">
        <v>51</v>
      </c>
      <c r="N99" s="7">
        <v>0.43</v>
      </c>
      <c r="O99" s="2">
        <v>1</v>
      </c>
      <c r="P99" s="7">
        <v>0.43</v>
      </c>
      <c r="Q99" s="7">
        <v>0</v>
      </c>
      <c r="R99" s="7">
        <v>7.0000000000000007E-2</v>
      </c>
      <c r="S99" s="7">
        <v>0.41</v>
      </c>
      <c r="T99" s="7">
        <v>0.5</v>
      </c>
      <c r="U99">
        <v>1</v>
      </c>
      <c r="V99">
        <v>1</v>
      </c>
    </row>
    <row r="100" spans="1:22">
      <c r="A100">
        <v>96</v>
      </c>
      <c r="B100" s="4">
        <v>46294.779641203706</v>
      </c>
      <c r="C100" s="5">
        <v>46294</v>
      </c>
      <c r="D100" s="6">
        <v>2.7796412037037035</v>
      </c>
      <c r="E100" s="5">
        <v>46294</v>
      </c>
      <c r="F100" t="s">
        <v>164</v>
      </c>
      <c r="G100" t="s">
        <v>165</v>
      </c>
      <c r="H100" t="s">
        <v>26</v>
      </c>
      <c r="I100" t="s">
        <v>27</v>
      </c>
      <c r="J100" t="s">
        <v>27</v>
      </c>
      <c r="K100" t="s">
        <v>166</v>
      </c>
      <c r="L100" s="2" t="s">
        <v>162</v>
      </c>
      <c r="M100" s="8" t="s">
        <v>163</v>
      </c>
      <c r="N100" s="7">
        <v>1.63</v>
      </c>
      <c r="O100" s="2">
        <v>1</v>
      </c>
      <c r="P100" s="7">
        <v>1.63</v>
      </c>
      <c r="Q100" s="7">
        <v>0</v>
      </c>
      <c r="R100" s="7">
        <v>0.25</v>
      </c>
      <c r="S100" s="7">
        <v>1.57</v>
      </c>
      <c r="T100" s="7">
        <v>1.88</v>
      </c>
      <c r="U100">
        <v>1</v>
      </c>
      <c r="V100">
        <v>1</v>
      </c>
    </row>
    <row r="101" spans="1:22">
      <c r="A101">
        <v>97</v>
      </c>
      <c r="B101" s="4">
        <v>46294.804259259261</v>
      </c>
      <c r="C101" s="5">
        <v>46294</v>
      </c>
      <c r="D101" s="6">
        <v>2.8042592592592595</v>
      </c>
      <c r="E101" s="5">
        <v>46294</v>
      </c>
      <c r="F101" t="s">
        <v>164</v>
      </c>
      <c r="G101" t="s">
        <v>165</v>
      </c>
      <c r="H101" t="s">
        <v>26</v>
      </c>
      <c r="I101" t="s">
        <v>27</v>
      </c>
      <c r="J101" t="s">
        <v>27</v>
      </c>
      <c r="K101" t="s">
        <v>167</v>
      </c>
      <c r="L101" s="2" t="s">
        <v>168</v>
      </c>
      <c r="M101" s="8" t="s">
        <v>169</v>
      </c>
      <c r="N101" s="7">
        <v>1.63</v>
      </c>
      <c r="O101" s="2">
        <v>1</v>
      </c>
      <c r="P101" s="7">
        <v>1.63</v>
      </c>
      <c r="Q101" s="7">
        <v>0</v>
      </c>
      <c r="R101" s="7">
        <v>0.25</v>
      </c>
      <c r="S101" s="7">
        <v>1.58</v>
      </c>
      <c r="T101" s="7">
        <v>1.88</v>
      </c>
      <c r="U101">
        <v>1</v>
      </c>
      <c r="V101">
        <v>1</v>
      </c>
    </row>
    <row r="102" spans="1:22">
      <c r="A102">
        <v>98</v>
      </c>
      <c r="B102" s="4">
        <v>46294.809189814812</v>
      </c>
      <c r="C102" s="5">
        <v>46294</v>
      </c>
      <c r="D102" s="6">
        <v>2.8092824074074074</v>
      </c>
      <c r="E102" s="5">
        <v>46294</v>
      </c>
      <c r="F102" t="s">
        <v>164</v>
      </c>
      <c r="G102" t="s">
        <v>165</v>
      </c>
      <c r="H102" t="s">
        <v>26</v>
      </c>
      <c r="I102" t="s">
        <v>27</v>
      </c>
      <c r="J102" t="s">
        <v>27</v>
      </c>
      <c r="K102" t="s">
        <v>170</v>
      </c>
      <c r="L102" s="2" t="s">
        <v>105</v>
      </c>
      <c r="M102" s="8" t="s">
        <v>106</v>
      </c>
      <c r="N102" s="7">
        <v>0.38</v>
      </c>
      <c r="O102" s="2">
        <v>5</v>
      </c>
      <c r="P102" s="7">
        <v>1.9</v>
      </c>
      <c r="Q102" s="7">
        <v>0</v>
      </c>
      <c r="R102" s="7">
        <v>0.3</v>
      </c>
      <c r="S102" s="7">
        <v>1.87</v>
      </c>
      <c r="T102" s="7">
        <v>2.2000000000000002</v>
      </c>
      <c r="U102">
        <v>1</v>
      </c>
      <c r="V102">
        <v>1</v>
      </c>
    </row>
    <row r="103" spans="1:22">
      <c r="A103">
        <v>99</v>
      </c>
      <c r="B103" s="4">
        <v>46294.809189814812</v>
      </c>
      <c r="C103" s="5">
        <v>46294</v>
      </c>
      <c r="D103" s="6">
        <v>2.8092824074074074</v>
      </c>
      <c r="E103" s="5">
        <v>46294</v>
      </c>
      <c r="F103" t="s">
        <v>164</v>
      </c>
      <c r="G103" t="s">
        <v>165</v>
      </c>
      <c r="H103" t="s">
        <v>26</v>
      </c>
      <c r="I103" t="s">
        <v>27</v>
      </c>
      <c r="J103" t="s">
        <v>27</v>
      </c>
      <c r="K103" t="s">
        <v>170</v>
      </c>
      <c r="L103" s="2" t="s">
        <v>105</v>
      </c>
      <c r="M103" s="8" t="s">
        <v>106</v>
      </c>
      <c r="N103" s="7">
        <v>0.38</v>
      </c>
      <c r="O103" s="2">
        <v>1</v>
      </c>
      <c r="P103" s="7">
        <v>0.38</v>
      </c>
      <c r="Q103" s="7">
        <v>0</v>
      </c>
      <c r="R103" s="7">
        <v>0.06</v>
      </c>
      <c r="S103" s="7">
        <v>0.37</v>
      </c>
      <c r="T103" s="7">
        <v>0.44</v>
      </c>
      <c r="U103">
        <v>1</v>
      </c>
      <c r="V103">
        <v>1</v>
      </c>
    </row>
    <row r="104" spans="1:22">
      <c r="A104">
        <v>100</v>
      </c>
      <c r="B104" s="4">
        <v>46294.843460648146</v>
      </c>
      <c r="C104" s="5">
        <v>46294</v>
      </c>
      <c r="D104" s="6">
        <v>2.8434490740740741</v>
      </c>
      <c r="E104" s="5">
        <v>46294</v>
      </c>
      <c r="F104" t="s">
        <v>164</v>
      </c>
      <c r="G104" t="s">
        <v>165</v>
      </c>
      <c r="H104" t="s">
        <v>26</v>
      </c>
      <c r="I104" t="s">
        <v>27</v>
      </c>
      <c r="J104" t="s">
        <v>27</v>
      </c>
      <c r="K104" t="s">
        <v>171</v>
      </c>
      <c r="L104" s="2" t="s">
        <v>146</v>
      </c>
      <c r="M104" s="8" t="s">
        <v>147</v>
      </c>
      <c r="N104" s="7">
        <v>2.16</v>
      </c>
      <c r="O104" s="2">
        <v>1</v>
      </c>
      <c r="P104" s="7">
        <v>2.16</v>
      </c>
      <c r="Q104" s="7">
        <v>0</v>
      </c>
      <c r="R104" s="7">
        <v>0.34</v>
      </c>
      <c r="S104" s="7">
        <v>2.09</v>
      </c>
      <c r="T104" s="7">
        <v>2.5</v>
      </c>
      <c r="U104">
        <v>1</v>
      </c>
      <c r="V104">
        <v>1</v>
      </c>
    </row>
    <row r="105" spans="1:22">
      <c r="A105">
        <v>101</v>
      </c>
      <c r="B105" s="4">
        <v>46294.843460648146</v>
      </c>
      <c r="C105" s="5">
        <v>46294</v>
      </c>
      <c r="D105" s="6">
        <v>2.8435648148148149</v>
      </c>
      <c r="E105" s="5">
        <v>46294</v>
      </c>
      <c r="F105" t="s">
        <v>164</v>
      </c>
      <c r="G105" t="s">
        <v>165</v>
      </c>
      <c r="H105" t="s">
        <v>26</v>
      </c>
      <c r="I105" t="s">
        <v>27</v>
      </c>
      <c r="J105" t="s">
        <v>27</v>
      </c>
      <c r="K105" t="s">
        <v>171</v>
      </c>
      <c r="L105" s="2" t="s">
        <v>172</v>
      </c>
      <c r="M105" s="8" t="s">
        <v>173</v>
      </c>
      <c r="N105" s="7">
        <v>2.16</v>
      </c>
      <c r="O105" s="2">
        <v>1</v>
      </c>
      <c r="P105" s="7">
        <v>2.16</v>
      </c>
      <c r="Q105" s="7">
        <v>0</v>
      </c>
      <c r="R105" s="7">
        <v>0.34</v>
      </c>
      <c r="S105" s="7">
        <v>2.08</v>
      </c>
      <c r="T105" s="7">
        <v>2.5</v>
      </c>
      <c r="U105">
        <v>1</v>
      </c>
      <c r="V105">
        <v>1</v>
      </c>
    </row>
    <row r="106" spans="1:22">
      <c r="A106">
        <v>102</v>
      </c>
      <c r="B106" s="4">
        <v>46294.843460648146</v>
      </c>
      <c r="C106" s="5">
        <v>46294</v>
      </c>
      <c r="D106" s="6">
        <v>2.8438657407407408</v>
      </c>
      <c r="E106" s="5">
        <v>46294</v>
      </c>
      <c r="F106" t="s">
        <v>164</v>
      </c>
      <c r="G106" t="s">
        <v>165</v>
      </c>
      <c r="H106" t="s">
        <v>26</v>
      </c>
      <c r="I106" t="s">
        <v>27</v>
      </c>
      <c r="J106" t="s">
        <v>27</v>
      </c>
      <c r="K106" t="s">
        <v>171</v>
      </c>
      <c r="L106" s="2" t="s">
        <v>63</v>
      </c>
      <c r="M106" s="8" t="s">
        <v>64</v>
      </c>
      <c r="N106" s="7">
        <v>1.9</v>
      </c>
      <c r="O106" s="2">
        <v>1</v>
      </c>
      <c r="P106" s="7">
        <v>1.9</v>
      </c>
      <c r="Q106" s="7">
        <v>0</v>
      </c>
      <c r="R106" s="7">
        <v>0.28999999999999998</v>
      </c>
      <c r="S106" s="7">
        <v>1.83</v>
      </c>
      <c r="T106" s="7">
        <v>2.19</v>
      </c>
      <c r="U106">
        <v>1</v>
      </c>
      <c r="V106">
        <v>1</v>
      </c>
    </row>
    <row r="107" spans="1:22">
      <c r="A107">
        <v>103</v>
      </c>
      <c r="B107" s="4">
        <v>46294.85738425926</v>
      </c>
      <c r="C107" s="5">
        <v>46294</v>
      </c>
      <c r="D107" s="6">
        <v>2.8573842592592591</v>
      </c>
      <c r="E107" s="5">
        <v>46294</v>
      </c>
      <c r="F107" t="s">
        <v>164</v>
      </c>
      <c r="G107" t="s">
        <v>165</v>
      </c>
      <c r="H107" t="s">
        <v>26</v>
      </c>
      <c r="I107" t="s">
        <v>27</v>
      </c>
      <c r="J107" t="s">
        <v>27</v>
      </c>
      <c r="K107" t="s">
        <v>174</v>
      </c>
      <c r="L107" s="2" t="s">
        <v>124</v>
      </c>
      <c r="M107" s="8" t="s">
        <v>125</v>
      </c>
      <c r="N107" s="7">
        <v>1.08</v>
      </c>
      <c r="O107" s="2">
        <v>1</v>
      </c>
      <c r="P107" s="7">
        <v>1.08</v>
      </c>
      <c r="Q107" s="7">
        <v>0</v>
      </c>
      <c r="R107" s="7">
        <v>0.17</v>
      </c>
      <c r="S107" s="7">
        <v>1.05</v>
      </c>
      <c r="T107" s="7">
        <v>1.25</v>
      </c>
      <c r="U107">
        <v>1</v>
      </c>
      <c r="V107">
        <v>1</v>
      </c>
    </row>
    <row r="108" spans="1:22">
      <c r="A108">
        <v>104</v>
      </c>
      <c r="B108" s="4">
        <v>46294.868449074071</v>
      </c>
      <c r="C108" s="5">
        <v>46294</v>
      </c>
      <c r="D108" s="6">
        <v>2.868449074074074</v>
      </c>
      <c r="E108" s="5">
        <v>46294</v>
      </c>
      <c r="F108" t="s">
        <v>164</v>
      </c>
      <c r="G108" t="s">
        <v>165</v>
      </c>
      <c r="H108" t="s">
        <v>26</v>
      </c>
      <c r="I108" t="s">
        <v>27</v>
      </c>
      <c r="J108" t="s">
        <v>27</v>
      </c>
      <c r="K108" t="s">
        <v>175</v>
      </c>
      <c r="L108" s="2" t="s">
        <v>176</v>
      </c>
      <c r="M108" s="8" t="s">
        <v>177</v>
      </c>
      <c r="N108" s="7">
        <v>2.16</v>
      </c>
      <c r="O108" s="2">
        <v>1</v>
      </c>
      <c r="P108" s="7">
        <v>2.16</v>
      </c>
      <c r="Q108" s="7">
        <v>0</v>
      </c>
      <c r="R108" s="7">
        <v>0.34</v>
      </c>
      <c r="S108" s="7">
        <v>2.1</v>
      </c>
      <c r="T108" s="7">
        <v>2.5</v>
      </c>
      <c r="U108">
        <v>1</v>
      </c>
      <c r="V108">
        <v>1</v>
      </c>
    </row>
    <row r="109" spans="1:22">
      <c r="A109">
        <v>105</v>
      </c>
      <c r="B109" s="4">
        <v>46294.881840277776</v>
      </c>
      <c r="C109" s="5">
        <v>46294</v>
      </c>
      <c r="D109" s="6">
        <v>2.8818287037037038</v>
      </c>
      <c r="E109" s="5">
        <v>46294</v>
      </c>
      <c r="F109" t="s">
        <v>164</v>
      </c>
      <c r="G109" t="s">
        <v>165</v>
      </c>
      <c r="H109" t="s">
        <v>26</v>
      </c>
      <c r="I109" t="s">
        <v>27</v>
      </c>
      <c r="J109" t="s">
        <v>27</v>
      </c>
      <c r="K109" t="s">
        <v>178</v>
      </c>
      <c r="L109" s="2" t="s">
        <v>146</v>
      </c>
      <c r="M109" s="8" t="s">
        <v>147</v>
      </c>
      <c r="N109" s="7">
        <v>2.16</v>
      </c>
      <c r="O109" s="2">
        <v>1</v>
      </c>
      <c r="P109" s="7">
        <v>2.16</v>
      </c>
      <c r="Q109" s="7">
        <v>0</v>
      </c>
      <c r="R109" s="7">
        <v>0.34</v>
      </c>
      <c r="S109" s="7">
        <v>2.09</v>
      </c>
      <c r="T109" s="7">
        <v>2.5</v>
      </c>
      <c r="U109">
        <v>1</v>
      </c>
      <c r="V109">
        <v>1</v>
      </c>
    </row>
    <row r="110" spans="1:22">
      <c r="A110">
        <v>106</v>
      </c>
      <c r="B110" s="4">
        <v>46294.881840277776</v>
      </c>
      <c r="C110" s="5">
        <v>46294</v>
      </c>
      <c r="D110" s="6">
        <v>2.8819212962962961</v>
      </c>
      <c r="E110" s="5">
        <v>46294</v>
      </c>
      <c r="F110" t="s">
        <v>164</v>
      </c>
      <c r="G110" t="s">
        <v>165</v>
      </c>
      <c r="H110" t="s">
        <v>26</v>
      </c>
      <c r="I110" t="s">
        <v>27</v>
      </c>
      <c r="J110" t="s">
        <v>27</v>
      </c>
      <c r="K110" t="s">
        <v>178</v>
      </c>
      <c r="L110" s="2" t="s">
        <v>172</v>
      </c>
      <c r="M110" s="8" t="s">
        <v>173</v>
      </c>
      <c r="N110" s="7">
        <v>2.16</v>
      </c>
      <c r="O110" s="2">
        <v>1</v>
      </c>
      <c r="P110" s="7">
        <v>2.16</v>
      </c>
      <c r="Q110" s="7">
        <v>0</v>
      </c>
      <c r="R110" s="7">
        <v>0.34</v>
      </c>
      <c r="S110" s="7">
        <v>2.08</v>
      </c>
      <c r="T110" s="7">
        <v>2.5</v>
      </c>
      <c r="U110">
        <v>1</v>
      </c>
      <c r="V110">
        <v>1</v>
      </c>
    </row>
    <row r="111" spans="1:22">
      <c r="A111">
        <v>107</v>
      </c>
      <c r="B111" s="4">
        <v>46294.881840277776</v>
      </c>
      <c r="C111" s="5">
        <v>46294</v>
      </c>
      <c r="D111" s="6">
        <v>2.8915740740740739</v>
      </c>
      <c r="E111" s="5">
        <v>46294</v>
      </c>
      <c r="F111" t="s">
        <v>164</v>
      </c>
      <c r="G111" t="s">
        <v>165</v>
      </c>
      <c r="H111" t="s">
        <v>26</v>
      </c>
      <c r="I111" t="s">
        <v>27</v>
      </c>
      <c r="J111" t="s">
        <v>27</v>
      </c>
      <c r="K111" t="s">
        <v>178</v>
      </c>
      <c r="L111" s="2" t="s">
        <v>140</v>
      </c>
      <c r="M111" s="8" t="s">
        <v>141</v>
      </c>
      <c r="N111" s="7">
        <v>0.55000000000000004</v>
      </c>
      <c r="O111" s="2">
        <v>2</v>
      </c>
      <c r="P111" s="7">
        <v>1.1000000000000001</v>
      </c>
      <c r="Q111" s="7">
        <v>0</v>
      </c>
      <c r="R111" s="7">
        <v>0.17</v>
      </c>
      <c r="S111" s="7">
        <v>1.06</v>
      </c>
      <c r="T111" s="7">
        <v>1.27</v>
      </c>
      <c r="U111">
        <v>1</v>
      </c>
      <c r="V111">
        <v>1</v>
      </c>
    </row>
    <row r="112" spans="1:22">
      <c r="A112">
        <v>108</v>
      </c>
      <c r="B112" s="4">
        <v>46294.881840277776</v>
      </c>
      <c r="C112" s="5">
        <v>46294</v>
      </c>
      <c r="D112" s="6">
        <v>2.8917129629629628</v>
      </c>
      <c r="E112" s="5">
        <v>46294</v>
      </c>
      <c r="F112" t="s">
        <v>164</v>
      </c>
      <c r="G112" t="s">
        <v>165</v>
      </c>
      <c r="H112" t="s">
        <v>26</v>
      </c>
      <c r="I112" t="s">
        <v>27</v>
      </c>
      <c r="J112" t="s">
        <v>27</v>
      </c>
      <c r="K112" t="s">
        <v>178</v>
      </c>
      <c r="L112" s="2" t="s">
        <v>157</v>
      </c>
      <c r="M112" s="8" t="s">
        <v>158</v>
      </c>
      <c r="N112" s="7">
        <v>0.55000000000000004</v>
      </c>
      <c r="O112" s="2">
        <v>3</v>
      </c>
      <c r="P112" s="7">
        <v>1.65</v>
      </c>
      <c r="Q112" s="7">
        <v>0</v>
      </c>
      <c r="R112" s="7">
        <v>0.25</v>
      </c>
      <c r="S112" s="7">
        <v>1.6</v>
      </c>
      <c r="T112" s="7">
        <v>1.9</v>
      </c>
      <c r="U112">
        <v>1</v>
      </c>
      <c r="V112">
        <v>1</v>
      </c>
    </row>
    <row r="113" spans="1:22">
      <c r="A113">
        <v>109</v>
      </c>
      <c r="B113" s="4">
        <v>46294.896261574075</v>
      </c>
      <c r="C113" s="5">
        <v>46294</v>
      </c>
      <c r="D113" s="6">
        <v>2.896261574074074</v>
      </c>
      <c r="E113" s="5">
        <v>46294</v>
      </c>
      <c r="F113" t="s">
        <v>164</v>
      </c>
      <c r="G113" t="s">
        <v>165</v>
      </c>
      <c r="H113" t="s">
        <v>26</v>
      </c>
      <c r="I113" t="s">
        <v>27</v>
      </c>
      <c r="J113" t="s">
        <v>27</v>
      </c>
      <c r="K113" t="s">
        <v>179</v>
      </c>
      <c r="L113" s="2" t="s">
        <v>120</v>
      </c>
      <c r="M113" s="8" t="s">
        <v>121</v>
      </c>
      <c r="N113" s="7">
        <v>0.81</v>
      </c>
      <c r="O113" s="2">
        <v>2</v>
      </c>
      <c r="P113" s="7">
        <v>1.62</v>
      </c>
      <c r="Q113" s="7">
        <v>0</v>
      </c>
      <c r="R113" s="7">
        <v>0.25</v>
      </c>
      <c r="S113" s="7">
        <v>1.57</v>
      </c>
      <c r="T113" s="7">
        <v>1.87</v>
      </c>
      <c r="U113">
        <v>1</v>
      </c>
      <c r="V113">
        <v>1</v>
      </c>
    </row>
    <row r="114" spans="1:22">
      <c r="A114">
        <v>110</v>
      </c>
      <c r="B114" s="4">
        <v>46294.912743055553</v>
      </c>
      <c r="C114" s="5">
        <v>46294</v>
      </c>
      <c r="D114" s="6">
        <v>2.9127314814814813</v>
      </c>
      <c r="E114" s="5">
        <v>46294</v>
      </c>
      <c r="F114" t="s">
        <v>164</v>
      </c>
      <c r="G114" t="s">
        <v>165</v>
      </c>
      <c r="H114" t="s">
        <v>26</v>
      </c>
      <c r="I114" t="s">
        <v>27</v>
      </c>
      <c r="J114" t="s">
        <v>27</v>
      </c>
      <c r="K114" t="s">
        <v>180</v>
      </c>
      <c r="L114" s="2" t="s">
        <v>88</v>
      </c>
      <c r="M114" s="8" t="s">
        <v>89</v>
      </c>
      <c r="N114" s="7">
        <v>0.81</v>
      </c>
      <c r="O114" s="2">
        <v>1</v>
      </c>
      <c r="P114" s="7">
        <v>0.81</v>
      </c>
      <c r="Q114" s="7">
        <v>0</v>
      </c>
      <c r="R114" s="7">
        <v>0.13</v>
      </c>
      <c r="S114" s="7">
        <v>0.79</v>
      </c>
      <c r="T114" s="7">
        <v>0.94</v>
      </c>
      <c r="U114">
        <v>1</v>
      </c>
      <c r="V114">
        <v>1</v>
      </c>
    </row>
    <row r="115" spans="1:22">
      <c r="A115">
        <v>111</v>
      </c>
      <c r="B115" s="4">
        <v>46294.935219907406</v>
      </c>
      <c r="C115" s="5">
        <v>46294</v>
      </c>
      <c r="D115" s="6">
        <v>2.9352083333333332</v>
      </c>
      <c r="E115" s="5">
        <v>46294</v>
      </c>
      <c r="F115" t="s">
        <v>164</v>
      </c>
      <c r="G115" t="s">
        <v>165</v>
      </c>
      <c r="H115" t="s">
        <v>26</v>
      </c>
      <c r="I115" t="s">
        <v>27</v>
      </c>
      <c r="J115" t="s">
        <v>27</v>
      </c>
      <c r="K115" t="s">
        <v>181</v>
      </c>
      <c r="L115" s="2" t="s">
        <v>84</v>
      </c>
      <c r="M115" s="8" t="s">
        <v>85</v>
      </c>
      <c r="N115" s="7">
        <v>1.35</v>
      </c>
      <c r="O115" s="2">
        <v>1</v>
      </c>
      <c r="P115" s="7">
        <v>1.35</v>
      </c>
      <c r="Q115" s="7">
        <v>0</v>
      </c>
      <c r="R115" s="7">
        <v>0.21</v>
      </c>
      <c r="S115" s="7">
        <v>1.3</v>
      </c>
      <c r="T115" s="7">
        <v>1.56</v>
      </c>
      <c r="U115">
        <v>1</v>
      </c>
      <c r="V115">
        <v>1</v>
      </c>
    </row>
    <row r="116" spans="1:22">
      <c r="A116">
        <v>112</v>
      </c>
      <c r="B116" s="4">
        <v>46294.935219907406</v>
      </c>
      <c r="C116" s="5">
        <v>46294</v>
      </c>
      <c r="D116" s="6">
        <v>2.9352777777777779</v>
      </c>
      <c r="E116" s="5">
        <v>46294</v>
      </c>
      <c r="F116" t="s">
        <v>164</v>
      </c>
      <c r="G116" t="s">
        <v>165</v>
      </c>
      <c r="H116" t="s">
        <v>26</v>
      </c>
      <c r="I116" t="s">
        <v>27</v>
      </c>
      <c r="J116" t="s">
        <v>27</v>
      </c>
      <c r="K116" t="s">
        <v>181</v>
      </c>
      <c r="L116" s="2" t="s">
        <v>109</v>
      </c>
      <c r="M116" s="8" t="s">
        <v>110</v>
      </c>
      <c r="N116" s="7">
        <v>1.08</v>
      </c>
      <c r="O116" s="2">
        <v>1</v>
      </c>
      <c r="P116" s="7">
        <v>1.08</v>
      </c>
      <c r="Q116" s="7">
        <v>0</v>
      </c>
      <c r="R116" s="7">
        <v>0.17</v>
      </c>
      <c r="S116" s="7">
        <v>0.26</v>
      </c>
      <c r="T116" s="7">
        <v>1.25</v>
      </c>
      <c r="U116">
        <v>1</v>
      </c>
      <c r="V116">
        <v>1</v>
      </c>
    </row>
    <row r="117" spans="1:22">
      <c r="A117">
        <v>113</v>
      </c>
      <c r="B117" s="4">
        <v>46294.940960648149</v>
      </c>
      <c r="C117" s="5">
        <v>46294</v>
      </c>
      <c r="D117" s="6">
        <v>2.9409606481481481</v>
      </c>
      <c r="E117" s="5">
        <v>46294</v>
      </c>
      <c r="F117" t="s">
        <v>164</v>
      </c>
      <c r="G117" t="s">
        <v>165</v>
      </c>
      <c r="H117" t="s">
        <v>26</v>
      </c>
      <c r="I117" t="s">
        <v>27</v>
      </c>
      <c r="J117" t="s">
        <v>27</v>
      </c>
      <c r="K117" t="s">
        <v>182</v>
      </c>
      <c r="L117" s="2" t="s">
        <v>88</v>
      </c>
      <c r="M117" s="8" t="s">
        <v>89</v>
      </c>
      <c r="N117" s="7">
        <v>0.81</v>
      </c>
      <c r="O117" s="2">
        <v>1</v>
      </c>
      <c r="P117" s="7">
        <v>0.81</v>
      </c>
      <c r="Q117" s="7">
        <v>0</v>
      </c>
      <c r="R117" s="7">
        <v>0.13</v>
      </c>
      <c r="S117" s="7">
        <v>0.79</v>
      </c>
      <c r="T117" s="7">
        <v>0.94</v>
      </c>
      <c r="U117">
        <v>1</v>
      </c>
      <c r="V117">
        <v>1</v>
      </c>
    </row>
    <row r="118" spans="1:22">
      <c r="A118">
        <v>114</v>
      </c>
      <c r="B118" s="4">
        <v>46294.941307870373</v>
      </c>
      <c r="C118" s="5">
        <v>46294</v>
      </c>
      <c r="D118" s="6">
        <v>2.9412962962962963</v>
      </c>
      <c r="E118" s="5">
        <v>46294</v>
      </c>
      <c r="F118" t="s">
        <v>164</v>
      </c>
      <c r="G118" t="s">
        <v>165</v>
      </c>
      <c r="H118" t="s">
        <v>26</v>
      </c>
      <c r="I118" t="s">
        <v>27</v>
      </c>
      <c r="J118" t="s">
        <v>27</v>
      </c>
      <c r="K118" t="s">
        <v>183</v>
      </c>
      <c r="L118" s="2" t="s">
        <v>124</v>
      </c>
      <c r="M118" s="8" t="s">
        <v>125</v>
      </c>
      <c r="N118" s="7">
        <v>1.08</v>
      </c>
      <c r="O118" s="2">
        <v>1</v>
      </c>
      <c r="P118" s="7">
        <v>1.08</v>
      </c>
      <c r="Q118" s="7">
        <v>0</v>
      </c>
      <c r="R118" s="7">
        <v>0.17</v>
      </c>
      <c r="S118" s="7">
        <v>1.05</v>
      </c>
      <c r="T118" s="7">
        <v>1.25</v>
      </c>
      <c r="U118">
        <v>1</v>
      </c>
      <c r="V118">
        <v>1</v>
      </c>
    </row>
    <row r="119" spans="1:22">
      <c r="A119">
        <v>115</v>
      </c>
      <c r="B119" s="4">
        <v>46294.957025462965</v>
      </c>
      <c r="C119" s="5">
        <v>46294</v>
      </c>
      <c r="D119" s="6">
        <v>2.9570138888888891</v>
      </c>
      <c r="E119" s="5">
        <v>46294</v>
      </c>
      <c r="F119" t="s">
        <v>164</v>
      </c>
      <c r="G119" t="s">
        <v>165</v>
      </c>
      <c r="H119" t="s">
        <v>26</v>
      </c>
      <c r="I119" t="s">
        <v>27</v>
      </c>
      <c r="J119" t="s">
        <v>27</v>
      </c>
      <c r="K119" t="s">
        <v>184</v>
      </c>
      <c r="L119" s="2" t="s">
        <v>120</v>
      </c>
      <c r="M119" s="8" t="s">
        <v>121</v>
      </c>
      <c r="N119" s="7">
        <v>0.81</v>
      </c>
      <c r="O119" s="2">
        <v>4</v>
      </c>
      <c r="P119" s="7">
        <v>3.24</v>
      </c>
      <c r="Q119" s="7">
        <v>0</v>
      </c>
      <c r="R119" s="7">
        <v>0.5</v>
      </c>
      <c r="S119" s="7">
        <v>3.14</v>
      </c>
      <c r="T119" s="7">
        <v>3.74</v>
      </c>
      <c r="U119">
        <v>1</v>
      </c>
      <c r="V119">
        <v>1</v>
      </c>
    </row>
    <row r="120" spans="1:22">
      <c r="A120">
        <v>116</v>
      </c>
      <c r="B120" s="4">
        <v>46294.957025462965</v>
      </c>
      <c r="C120" s="5">
        <v>46294</v>
      </c>
      <c r="D120" s="6">
        <v>2.9737268518518518</v>
      </c>
      <c r="E120" s="5">
        <v>46294</v>
      </c>
      <c r="F120" t="s">
        <v>164</v>
      </c>
      <c r="G120" t="s">
        <v>165</v>
      </c>
      <c r="H120" t="s">
        <v>26</v>
      </c>
      <c r="I120" t="s">
        <v>27</v>
      </c>
      <c r="J120" t="s">
        <v>27</v>
      </c>
      <c r="K120" t="s">
        <v>184</v>
      </c>
      <c r="L120" s="2" t="s">
        <v>81</v>
      </c>
      <c r="M120" s="8" t="s">
        <v>82</v>
      </c>
      <c r="N120" s="7">
        <v>1.08</v>
      </c>
      <c r="O120" s="2">
        <v>1</v>
      </c>
      <c r="P120" s="7">
        <v>1.08</v>
      </c>
      <c r="Q120" s="7">
        <v>0</v>
      </c>
      <c r="R120" s="7">
        <v>0.17</v>
      </c>
      <c r="S120" s="7">
        <v>0.26</v>
      </c>
      <c r="T120" s="7">
        <v>1.25</v>
      </c>
      <c r="U120">
        <v>1</v>
      </c>
      <c r="V120">
        <v>1</v>
      </c>
    </row>
    <row r="121" spans="1:22">
      <c r="A121">
        <v>117</v>
      </c>
      <c r="B121" s="4">
        <v>46295.071064814816</v>
      </c>
      <c r="C121" s="5">
        <v>46294</v>
      </c>
      <c r="D121" s="6">
        <v>2.071064814814815</v>
      </c>
      <c r="E121" s="5">
        <v>46294</v>
      </c>
      <c r="F121" t="s">
        <v>164</v>
      </c>
      <c r="G121" t="s">
        <v>165</v>
      </c>
      <c r="H121" t="s">
        <v>26</v>
      </c>
      <c r="I121" t="s">
        <v>27</v>
      </c>
      <c r="J121" t="s">
        <v>27</v>
      </c>
      <c r="K121" t="s">
        <v>185</v>
      </c>
      <c r="L121" s="2" t="s">
        <v>88</v>
      </c>
      <c r="M121" s="8" t="s">
        <v>89</v>
      </c>
      <c r="N121" s="7">
        <v>0.81</v>
      </c>
      <c r="O121" s="2">
        <v>1</v>
      </c>
      <c r="P121" s="7">
        <v>0.81</v>
      </c>
      <c r="Q121" s="7">
        <v>0</v>
      </c>
      <c r="R121" s="7">
        <v>0.13</v>
      </c>
      <c r="S121" s="7">
        <v>0.79</v>
      </c>
      <c r="T121" s="7">
        <v>0.94</v>
      </c>
      <c r="U121">
        <v>1</v>
      </c>
      <c r="V121">
        <v>1</v>
      </c>
    </row>
    <row r="122" spans="1:22">
      <c r="A122">
        <v>118</v>
      </c>
      <c r="B122" s="4">
        <v>46295.071064814816</v>
      </c>
      <c r="C122" s="5">
        <v>46294</v>
      </c>
      <c r="D122" s="6">
        <v>2.0712615740740739</v>
      </c>
      <c r="E122" s="5">
        <v>46294</v>
      </c>
      <c r="F122" t="s">
        <v>164</v>
      </c>
      <c r="G122" t="s">
        <v>165</v>
      </c>
      <c r="H122" t="s">
        <v>26</v>
      </c>
      <c r="I122" t="s">
        <v>27</v>
      </c>
      <c r="J122" t="s">
        <v>27</v>
      </c>
      <c r="K122" t="s">
        <v>185</v>
      </c>
      <c r="L122" s="2" t="s">
        <v>140</v>
      </c>
      <c r="M122" s="8" t="s">
        <v>141</v>
      </c>
      <c r="N122" s="7">
        <v>0.55000000000000004</v>
      </c>
      <c r="O122" s="2">
        <v>3</v>
      </c>
      <c r="P122" s="7">
        <v>1.65</v>
      </c>
      <c r="Q122" s="7">
        <v>0</v>
      </c>
      <c r="R122" s="7">
        <v>0.25</v>
      </c>
      <c r="S122" s="7">
        <v>1.6</v>
      </c>
      <c r="T122" s="7">
        <v>1.9</v>
      </c>
      <c r="U122">
        <v>1</v>
      </c>
      <c r="V122">
        <v>1</v>
      </c>
    </row>
    <row r="123" spans="1:22">
      <c r="A123">
        <v>119</v>
      </c>
      <c r="B123" s="4">
        <v>46295.071064814816</v>
      </c>
      <c r="C123" s="5">
        <v>46294</v>
      </c>
      <c r="D123" s="6">
        <v>2.0717592592592591</v>
      </c>
      <c r="E123" s="5">
        <v>46294</v>
      </c>
      <c r="F123" t="s">
        <v>164</v>
      </c>
      <c r="G123" t="s">
        <v>165</v>
      </c>
      <c r="H123" t="s">
        <v>26</v>
      </c>
      <c r="I123" t="s">
        <v>27</v>
      </c>
      <c r="J123" t="s">
        <v>27</v>
      </c>
      <c r="K123" t="s">
        <v>185</v>
      </c>
      <c r="L123" s="2" t="s">
        <v>81</v>
      </c>
      <c r="M123" s="8" t="s">
        <v>82</v>
      </c>
      <c r="N123" s="7">
        <v>1.08</v>
      </c>
      <c r="O123" s="2">
        <v>1</v>
      </c>
      <c r="P123" s="7">
        <v>1.08</v>
      </c>
      <c r="Q123" s="7">
        <v>0</v>
      </c>
      <c r="R123" s="7">
        <v>0.17</v>
      </c>
      <c r="S123" s="7">
        <v>0.26</v>
      </c>
      <c r="T123" s="7">
        <v>1.25</v>
      </c>
      <c r="U123">
        <v>1</v>
      </c>
      <c r="V123">
        <v>1</v>
      </c>
    </row>
    <row r="124" spans="1:22">
      <c r="A124">
        <v>120</v>
      </c>
      <c r="B124" s="4">
        <v>46295.085532407407</v>
      </c>
      <c r="C124" s="5">
        <v>46294</v>
      </c>
      <c r="D124" s="6">
        <v>2.0855324074074075</v>
      </c>
      <c r="E124" s="5">
        <v>46294</v>
      </c>
      <c r="F124" t="s">
        <v>164</v>
      </c>
      <c r="G124" t="s">
        <v>165</v>
      </c>
      <c r="H124" t="s">
        <v>26</v>
      </c>
      <c r="I124" t="s">
        <v>27</v>
      </c>
      <c r="J124" t="s">
        <v>27</v>
      </c>
      <c r="K124" t="s">
        <v>186</v>
      </c>
      <c r="L124" s="2" t="s">
        <v>81</v>
      </c>
      <c r="M124" s="8" t="s">
        <v>82</v>
      </c>
      <c r="N124" s="7">
        <v>1.08</v>
      </c>
      <c r="O124" s="2">
        <v>1</v>
      </c>
      <c r="P124" s="7">
        <v>1.08</v>
      </c>
      <c r="Q124" s="7">
        <v>0</v>
      </c>
      <c r="R124" s="7">
        <v>0.17</v>
      </c>
      <c r="S124" s="7">
        <v>0.26</v>
      </c>
      <c r="T124" s="7">
        <v>1.25</v>
      </c>
      <c r="U124">
        <v>1</v>
      </c>
      <c r="V124">
        <v>1</v>
      </c>
    </row>
    <row r="125" spans="1:22">
      <c r="A125">
        <v>121</v>
      </c>
      <c r="B125" s="4">
        <v>46295.085532407407</v>
      </c>
      <c r="C125" s="5">
        <v>46294</v>
      </c>
      <c r="D125" s="6">
        <v>2.0859375</v>
      </c>
      <c r="E125" s="5">
        <v>46294</v>
      </c>
      <c r="F125" t="s">
        <v>164</v>
      </c>
      <c r="G125" t="s">
        <v>165</v>
      </c>
      <c r="H125" t="s">
        <v>26</v>
      </c>
      <c r="I125" t="s">
        <v>27</v>
      </c>
      <c r="J125" t="s">
        <v>27</v>
      </c>
      <c r="K125" t="s">
        <v>186</v>
      </c>
      <c r="L125" s="2" t="s">
        <v>168</v>
      </c>
      <c r="M125" s="8" t="s">
        <v>169</v>
      </c>
      <c r="N125" s="7">
        <v>1.63</v>
      </c>
      <c r="O125" s="2">
        <v>1</v>
      </c>
      <c r="P125" s="7">
        <v>1.63</v>
      </c>
      <c r="Q125" s="7">
        <v>0</v>
      </c>
      <c r="R125" s="7">
        <v>0.25</v>
      </c>
      <c r="S125" s="7">
        <v>1.58</v>
      </c>
      <c r="T125" s="7">
        <v>1.88</v>
      </c>
      <c r="U125">
        <v>1</v>
      </c>
      <c r="V125">
        <v>1</v>
      </c>
    </row>
    <row r="126" spans="1:22">
      <c r="A126">
        <v>122</v>
      </c>
      <c r="B126" s="4">
        <v>46295.121296296296</v>
      </c>
      <c r="C126" s="5">
        <v>46294</v>
      </c>
      <c r="D126" s="6">
        <v>2.1212962962962965</v>
      </c>
      <c r="E126" s="5">
        <v>46294</v>
      </c>
      <c r="F126" t="s">
        <v>164</v>
      </c>
      <c r="G126" t="s">
        <v>165</v>
      </c>
      <c r="H126" t="s">
        <v>26</v>
      </c>
      <c r="I126" t="s">
        <v>27</v>
      </c>
      <c r="J126" t="s">
        <v>27</v>
      </c>
      <c r="K126" t="s">
        <v>187</v>
      </c>
      <c r="L126" s="2" t="s">
        <v>188</v>
      </c>
      <c r="M126" s="8" t="s">
        <v>189</v>
      </c>
      <c r="N126" s="7">
        <v>3.79</v>
      </c>
      <c r="O126" s="2">
        <v>1</v>
      </c>
      <c r="P126" s="7">
        <v>3.79</v>
      </c>
      <c r="Q126" s="7">
        <v>0</v>
      </c>
      <c r="R126" s="7">
        <v>0.59</v>
      </c>
      <c r="S126" s="7">
        <v>0.96</v>
      </c>
      <c r="T126" s="7">
        <v>4.38</v>
      </c>
      <c r="U126">
        <v>1</v>
      </c>
      <c r="V126">
        <v>1</v>
      </c>
    </row>
    <row r="127" spans="1:22">
      <c r="A127">
        <v>123</v>
      </c>
      <c r="B127" s="4">
        <v>46295.306851851848</v>
      </c>
      <c r="C127" s="5">
        <v>46295</v>
      </c>
      <c r="D127" s="6">
        <v>2.3068518518518517</v>
      </c>
      <c r="E127" s="5">
        <v>46295</v>
      </c>
      <c r="F127" t="s">
        <v>24</v>
      </c>
      <c r="G127" t="s">
        <v>25</v>
      </c>
      <c r="H127" t="s">
        <v>26</v>
      </c>
      <c r="I127" t="s">
        <v>27</v>
      </c>
      <c r="J127" t="s">
        <v>27</v>
      </c>
      <c r="K127" t="s">
        <v>190</v>
      </c>
      <c r="L127" s="2" t="s">
        <v>113</v>
      </c>
      <c r="M127" s="8" t="s">
        <v>114</v>
      </c>
      <c r="N127" s="7">
        <v>1.08</v>
      </c>
      <c r="O127" s="2">
        <v>1</v>
      </c>
      <c r="P127" s="7">
        <v>1.08</v>
      </c>
      <c r="Q127" s="7">
        <v>0</v>
      </c>
      <c r="R127" s="7">
        <v>0.17</v>
      </c>
      <c r="S127" s="7">
        <v>0.26</v>
      </c>
      <c r="T127" s="7">
        <v>1.25</v>
      </c>
      <c r="U127">
        <v>1</v>
      </c>
      <c r="V127">
        <v>1</v>
      </c>
    </row>
    <row r="128" spans="1:22">
      <c r="A128">
        <v>124</v>
      </c>
      <c r="B128" s="4">
        <v>46295.307129629633</v>
      </c>
      <c r="C128" s="5">
        <v>46295</v>
      </c>
      <c r="D128" s="6">
        <v>2.3071180555555557</v>
      </c>
      <c r="E128" s="5">
        <v>46295</v>
      </c>
      <c r="F128" t="s">
        <v>24</v>
      </c>
      <c r="G128" t="s">
        <v>25</v>
      </c>
      <c r="H128" t="s">
        <v>26</v>
      </c>
      <c r="I128" t="s">
        <v>27</v>
      </c>
      <c r="J128" t="s">
        <v>27</v>
      </c>
      <c r="K128" t="s">
        <v>191</v>
      </c>
      <c r="L128" s="2" t="s">
        <v>192</v>
      </c>
      <c r="M128" s="8" t="s">
        <v>193</v>
      </c>
      <c r="N128" s="7">
        <v>1.35</v>
      </c>
      <c r="O128" s="2">
        <v>4</v>
      </c>
      <c r="P128" s="7">
        <v>5.4</v>
      </c>
      <c r="Q128" s="7">
        <v>0</v>
      </c>
      <c r="R128" s="7">
        <v>0.84</v>
      </c>
      <c r="S128" s="7">
        <v>5.22</v>
      </c>
      <c r="T128" s="7">
        <v>6.24</v>
      </c>
      <c r="U128">
        <v>1</v>
      </c>
      <c r="V128">
        <v>1</v>
      </c>
    </row>
    <row r="129" spans="1:22">
      <c r="A129">
        <v>125</v>
      </c>
      <c r="B129" s="4">
        <v>46295.307129629633</v>
      </c>
      <c r="C129" s="5">
        <v>46295</v>
      </c>
      <c r="D129" s="6">
        <v>2.3072569444444446</v>
      </c>
      <c r="E129" s="5">
        <v>46295</v>
      </c>
      <c r="F129" t="s">
        <v>24</v>
      </c>
      <c r="G129" t="s">
        <v>25</v>
      </c>
      <c r="H129" t="s">
        <v>26</v>
      </c>
      <c r="I129" t="s">
        <v>27</v>
      </c>
      <c r="J129" t="s">
        <v>27</v>
      </c>
      <c r="K129" t="s">
        <v>191</v>
      </c>
      <c r="L129" s="2" t="s">
        <v>157</v>
      </c>
      <c r="M129" s="8" t="s">
        <v>158</v>
      </c>
      <c r="N129" s="7">
        <v>0.55000000000000004</v>
      </c>
      <c r="O129" s="2">
        <v>4</v>
      </c>
      <c r="P129" s="7">
        <v>2.2000000000000002</v>
      </c>
      <c r="Q129" s="7">
        <v>0</v>
      </c>
      <c r="R129" s="7">
        <v>0.34</v>
      </c>
      <c r="S129" s="7">
        <v>2.13</v>
      </c>
      <c r="T129" s="7">
        <v>2.54</v>
      </c>
      <c r="U129">
        <v>1</v>
      </c>
      <c r="V129">
        <v>1</v>
      </c>
    </row>
    <row r="130" spans="1:22">
      <c r="A130">
        <v>126</v>
      </c>
      <c r="B130" s="4">
        <v>46295.307129629633</v>
      </c>
      <c r="C130" s="5">
        <v>46295</v>
      </c>
      <c r="D130" s="6">
        <v>2.3074537037037035</v>
      </c>
      <c r="E130" s="5">
        <v>46295</v>
      </c>
      <c r="F130" t="s">
        <v>24</v>
      </c>
      <c r="G130" t="s">
        <v>25</v>
      </c>
      <c r="H130" t="s">
        <v>26</v>
      </c>
      <c r="I130" t="s">
        <v>27</v>
      </c>
      <c r="J130" t="s">
        <v>27</v>
      </c>
      <c r="K130" t="s">
        <v>191</v>
      </c>
      <c r="L130" s="2" t="s">
        <v>151</v>
      </c>
      <c r="M130" s="8" t="s">
        <v>152</v>
      </c>
      <c r="N130" s="7">
        <v>0.27</v>
      </c>
      <c r="O130" s="2">
        <v>1</v>
      </c>
      <c r="P130" s="7">
        <v>0.27</v>
      </c>
      <c r="Q130" s="7">
        <v>0</v>
      </c>
      <c r="R130" s="7">
        <v>0.04</v>
      </c>
      <c r="S130" s="7">
        <v>0.14000000000000001</v>
      </c>
      <c r="T130" s="7">
        <v>0.31</v>
      </c>
      <c r="U130">
        <v>1</v>
      </c>
      <c r="V130">
        <v>1</v>
      </c>
    </row>
    <row r="131" spans="1:22">
      <c r="A131">
        <v>127</v>
      </c>
      <c r="B131" s="4">
        <v>46295.307129629633</v>
      </c>
      <c r="C131" s="5">
        <v>46295</v>
      </c>
      <c r="D131" s="6">
        <v>2.3075925925925924</v>
      </c>
      <c r="E131" s="5">
        <v>46295</v>
      </c>
      <c r="F131" t="s">
        <v>24</v>
      </c>
      <c r="G131" t="s">
        <v>25</v>
      </c>
      <c r="H131" t="s">
        <v>26</v>
      </c>
      <c r="I131" t="s">
        <v>27</v>
      </c>
      <c r="J131" t="s">
        <v>27</v>
      </c>
      <c r="K131" t="s">
        <v>191</v>
      </c>
      <c r="L131" s="2" t="s">
        <v>120</v>
      </c>
      <c r="M131" s="8" t="s">
        <v>121</v>
      </c>
      <c r="N131" s="7">
        <v>0.81</v>
      </c>
      <c r="O131" s="2">
        <v>1</v>
      </c>
      <c r="P131" s="7">
        <v>0.81</v>
      </c>
      <c r="Q131" s="7">
        <v>0</v>
      </c>
      <c r="R131" s="7">
        <v>0.13</v>
      </c>
      <c r="S131" s="7">
        <v>0.79</v>
      </c>
      <c r="T131" s="7">
        <v>0.94</v>
      </c>
      <c r="U131">
        <v>1</v>
      </c>
      <c r="V131">
        <v>1</v>
      </c>
    </row>
    <row r="132" spans="1:22">
      <c r="A132">
        <v>128</v>
      </c>
      <c r="B132" s="4">
        <v>46295.307129629633</v>
      </c>
      <c r="C132" s="5">
        <v>46295</v>
      </c>
      <c r="D132" s="6">
        <v>2.3076967592592594</v>
      </c>
      <c r="E132" s="5">
        <v>46295</v>
      </c>
      <c r="F132" t="s">
        <v>24</v>
      </c>
      <c r="G132" t="s">
        <v>25</v>
      </c>
      <c r="H132" t="s">
        <v>26</v>
      </c>
      <c r="I132" t="s">
        <v>27</v>
      </c>
      <c r="J132" t="s">
        <v>27</v>
      </c>
      <c r="K132" t="s">
        <v>191</v>
      </c>
      <c r="L132" s="2" t="s">
        <v>194</v>
      </c>
      <c r="M132" s="8" t="s">
        <v>195</v>
      </c>
      <c r="N132" s="7">
        <v>1.08</v>
      </c>
      <c r="O132" s="2">
        <v>1</v>
      </c>
      <c r="P132" s="7">
        <v>1.08</v>
      </c>
      <c r="Q132" s="7">
        <v>0</v>
      </c>
      <c r="R132" s="7">
        <v>0.17</v>
      </c>
      <c r="S132" s="7">
        <v>0.43</v>
      </c>
      <c r="T132" s="7">
        <v>1.25</v>
      </c>
      <c r="U132">
        <v>1</v>
      </c>
      <c r="V132">
        <v>1</v>
      </c>
    </row>
    <row r="133" spans="1:22">
      <c r="A133">
        <v>129</v>
      </c>
      <c r="B133" s="4">
        <v>46295.307129629633</v>
      </c>
      <c r="C133" s="5">
        <v>46295</v>
      </c>
      <c r="D133" s="6">
        <v>2.3078124999999998</v>
      </c>
      <c r="E133" s="5">
        <v>46295</v>
      </c>
      <c r="F133" t="s">
        <v>24</v>
      </c>
      <c r="G133" t="s">
        <v>25</v>
      </c>
      <c r="H133" t="s">
        <v>26</v>
      </c>
      <c r="I133" t="s">
        <v>27</v>
      </c>
      <c r="J133" t="s">
        <v>27</v>
      </c>
      <c r="K133" t="s">
        <v>191</v>
      </c>
      <c r="L133" s="2" t="s">
        <v>66</v>
      </c>
      <c r="M133" s="8" t="s">
        <v>67</v>
      </c>
      <c r="N133" s="7">
        <v>2.19</v>
      </c>
      <c r="O133" s="2">
        <v>1</v>
      </c>
      <c r="P133" s="7">
        <v>2.19</v>
      </c>
      <c r="Q133" s="7">
        <v>0</v>
      </c>
      <c r="R133" s="7">
        <v>0</v>
      </c>
      <c r="S133" s="7">
        <v>2.1</v>
      </c>
      <c r="T133" s="7">
        <v>2.19</v>
      </c>
      <c r="U133">
        <v>1</v>
      </c>
      <c r="V133">
        <v>1</v>
      </c>
    </row>
    <row r="134" spans="1:22">
      <c r="A134">
        <v>130</v>
      </c>
      <c r="B134" s="4">
        <v>46295.307129629633</v>
      </c>
      <c r="C134" s="5">
        <v>46295</v>
      </c>
      <c r="D134" s="6">
        <v>2.3080439814814815</v>
      </c>
      <c r="E134" s="5">
        <v>46295</v>
      </c>
      <c r="F134" t="s">
        <v>24</v>
      </c>
      <c r="G134" t="s">
        <v>25</v>
      </c>
      <c r="H134" t="s">
        <v>26</v>
      </c>
      <c r="I134" t="s">
        <v>27</v>
      </c>
      <c r="J134" t="s">
        <v>27</v>
      </c>
      <c r="K134" t="s">
        <v>191</v>
      </c>
      <c r="L134" s="2" t="s">
        <v>168</v>
      </c>
      <c r="M134" s="8" t="s">
        <v>169</v>
      </c>
      <c r="N134" s="7">
        <v>1.63</v>
      </c>
      <c r="O134" s="2">
        <v>1</v>
      </c>
      <c r="P134" s="7">
        <v>1.63</v>
      </c>
      <c r="Q134" s="7">
        <v>0</v>
      </c>
      <c r="R134" s="7">
        <v>0.25</v>
      </c>
      <c r="S134" s="7">
        <v>1.58</v>
      </c>
      <c r="T134" s="7">
        <v>1.88</v>
      </c>
      <c r="U134">
        <v>1</v>
      </c>
      <c r="V134">
        <v>1</v>
      </c>
    </row>
    <row r="135" spans="1:22">
      <c r="A135">
        <v>131</v>
      </c>
      <c r="B135" s="4">
        <v>46295.341354166667</v>
      </c>
      <c r="C135" s="5">
        <v>46295</v>
      </c>
      <c r="D135" s="6">
        <v>2.3413425925925928</v>
      </c>
      <c r="E135" s="5">
        <v>46295</v>
      </c>
      <c r="F135" t="s">
        <v>24</v>
      </c>
      <c r="G135" t="s">
        <v>25</v>
      </c>
      <c r="H135" t="s">
        <v>26</v>
      </c>
      <c r="I135" t="s">
        <v>27</v>
      </c>
      <c r="J135" t="s">
        <v>27</v>
      </c>
      <c r="K135" t="s">
        <v>196</v>
      </c>
      <c r="L135" s="2" t="s">
        <v>63</v>
      </c>
      <c r="M135" s="8" t="s">
        <v>64</v>
      </c>
      <c r="N135" s="7">
        <v>1.9</v>
      </c>
      <c r="O135" s="2">
        <v>1</v>
      </c>
      <c r="P135" s="7">
        <v>1.9</v>
      </c>
      <c r="Q135" s="7">
        <v>0</v>
      </c>
      <c r="R135" s="7">
        <v>0.28999999999999998</v>
      </c>
      <c r="S135" s="7">
        <v>1.83</v>
      </c>
      <c r="T135" s="7">
        <v>2.19</v>
      </c>
      <c r="U135">
        <v>1</v>
      </c>
      <c r="V135">
        <v>1</v>
      </c>
    </row>
    <row r="136" spans="1:22">
      <c r="A136">
        <v>132</v>
      </c>
      <c r="B136" s="4">
        <v>46295.360543981478</v>
      </c>
      <c r="C136" s="5">
        <v>46295</v>
      </c>
      <c r="D136" s="6">
        <v>2.3605439814814817</v>
      </c>
      <c r="E136" s="5">
        <v>46295</v>
      </c>
      <c r="F136" t="s">
        <v>24</v>
      </c>
      <c r="G136" t="s">
        <v>25</v>
      </c>
      <c r="H136" t="s">
        <v>26</v>
      </c>
      <c r="I136" t="s">
        <v>27</v>
      </c>
      <c r="J136" t="s">
        <v>27</v>
      </c>
      <c r="K136" t="s">
        <v>197</v>
      </c>
      <c r="L136" s="2" t="s">
        <v>198</v>
      </c>
      <c r="M136" s="8" t="s">
        <v>199</v>
      </c>
      <c r="N136" s="7">
        <v>0.81</v>
      </c>
      <c r="O136" s="2">
        <v>8</v>
      </c>
      <c r="P136" s="7">
        <v>6.48</v>
      </c>
      <c r="Q136" s="7">
        <v>0</v>
      </c>
      <c r="R136" s="7">
        <v>1.01</v>
      </c>
      <c r="S136" s="7">
        <v>3</v>
      </c>
      <c r="T136" s="7">
        <v>7.49</v>
      </c>
      <c r="U136">
        <v>1</v>
      </c>
      <c r="V136">
        <v>1</v>
      </c>
    </row>
    <row r="137" spans="1:22">
      <c r="A137">
        <v>133</v>
      </c>
      <c r="B137" s="4">
        <v>46295.36482638889</v>
      </c>
      <c r="C137" s="5">
        <v>46295</v>
      </c>
      <c r="D137" s="6">
        <v>2.364826388888889</v>
      </c>
      <c r="E137" s="5">
        <v>46295</v>
      </c>
      <c r="F137" t="s">
        <v>24</v>
      </c>
      <c r="G137" t="s">
        <v>25</v>
      </c>
      <c r="H137" t="s">
        <v>26</v>
      </c>
      <c r="I137" t="s">
        <v>27</v>
      </c>
      <c r="J137" t="s">
        <v>27</v>
      </c>
      <c r="K137" t="s">
        <v>200</v>
      </c>
      <c r="L137" s="2" t="s">
        <v>29</v>
      </c>
      <c r="M137" s="8" t="s">
        <v>30</v>
      </c>
      <c r="N137" s="7">
        <v>0.81</v>
      </c>
      <c r="O137" s="2">
        <v>1</v>
      </c>
      <c r="P137" s="7">
        <v>0.81</v>
      </c>
      <c r="Q137" s="7">
        <v>0</v>
      </c>
      <c r="R137" s="7">
        <v>0.13</v>
      </c>
      <c r="S137" s="7">
        <v>0.43</v>
      </c>
      <c r="T137" s="7">
        <v>0.94</v>
      </c>
      <c r="U137">
        <v>1</v>
      </c>
      <c r="V137">
        <v>1</v>
      </c>
    </row>
    <row r="138" spans="1:22">
      <c r="A138">
        <v>134</v>
      </c>
      <c r="B138" s="4">
        <v>46295.366099537037</v>
      </c>
      <c r="C138" s="5">
        <v>46295</v>
      </c>
      <c r="D138" s="6">
        <v>2.366087962962963</v>
      </c>
      <c r="E138" s="5">
        <v>46295</v>
      </c>
      <c r="F138" t="s">
        <v>24</v>
      </c>
      <c r="G138" t="s">
        <v>25</v>
      </c>
      <c r="H138" t="s">
        <v>26</v>
      </c>
      <c r="I138" t="s">
        <v>27</v>
      </c>
      <c r="J138" t="s">
        <v>27</v>
      </c>
      <c r="K138" t="s">
        <v>201</v>
      </c>
      <c r="L138" s="2" t="s">
        <v>38</v>
      </c>
      <c r="M138" s="8" t="s">
        <v>39</v>
      </c>
      <c r="N138" s="7">
        <v>0.03</v>
      </c>
      <c r="O138" s="2">
        <v>2</v>
      </c>
      <c r="P138" s="7">
        <v>0.06</v>
      </c>
      <c r="Q138" s="7">
        <v>0</v>
      </c>
      <c r="R138" s="7">
        <v>0.01</v>
      </c>
      <c r="S138" s="7">
        <v>0.02</v>
      </c>
      <c r="T138" s="7">
        <v>7.0000000000000007E-2</v>
      </c>
      <c r="U138">
        <v>1</v>
      </c>
      <c r="V138">
        <v>1</v>
      </c>
    </row>
    <row r="139" spans="1:22">
      <c r="A139">
        <v>135</v>
      </c>
      <c r="B139" s="4">
        <v>46295.373969907407</v>
      </c>
      <c r="C139" s="5">
        <v>46295</v>
      </c>
      <c r="D139" s="6">
        <v>2.3739583333333334</v>
      </c>
      <c r="E139" s="5">
        <v>46295</v>
      </c>
      <c r="F139" t="s">
        <v>24</v>
      </c>
      <c r="G139" t="s">
        <v>25</v>
      </c>
      <c r="H139" t="s">
        <v>26</v>
      </c>
      <c r="I139" t="s">
        <v>27</v>
      </c>
      <c r="J139" t="s">
        <v>27</v>
      </c>
      <c r="K139" t="s">
        <v>202</v>
      </c>
      <c r="L139" s="2" t="s">
        <v>66</v>
      </c>
      <c r="M139" s="8" t="s">
        <v>67</v>
      </c>
      <c r="N139" s="7">
        <v>2.19</v>
      </c>
      <c r="O139" s="2">
        <v>1</v>
      </c>
      <c r="P139" s="7">
        <v>2.19</v>
      </c>
      <c r="Q139" s="7">
        <v>0</v>
      </c>
      <c r="R139" s="7">
        <v>0</v>
      </c>
      <c r="S139" s="7">
        <v>2.1</v>
      </c>
      <c r="T139" s="7">
        <v>2.19</v>
      </c>
      <c r="U139">
        <v>1</v>
      </c>
      <c r="V139">
        <v>1</v>
      </c>
    </row>
    <row r="140" spans="1:22">
      <c r="A140">
        <v>136</v>
      </c>
      <c r="B140" s="4">
        <v>46295.373969907407</v>
      </c>
      <c r="C140" s="5">
        <v>46295</v>
      </c>
      <c r="D140" s="6">
        <v>2.3740277777777776</v>
      </c>
      <c r="E140" s="5">
        <v>46295</v>
      </c>
      <c r="F140" t="s">
        <v>24</v>
      </c>
      <c r="G140" t="s">
        <v>25</v>
      </c>
      <c r="H140" t="s">
        <v>26</v>
      </c>
      <c r="I140" t="s">
        <v>27</v>
      </c>
      <c r="J140" t="s">
        <v>27</v>
      </c>
      <c r="K140" t="s">
        <v>202</v>
      </c>
      <c r="L140" s="2" t="s">
        <v>98</v>
      </c>
      <c r="M140" s="8" t="s">
        <v>99</v>
      </c>
      <c r="N140" s="7">
        <v>0.81</v>
      </c>
      <c r="O140" s="2">
        <v>1</v>
      </c>
      <c r="P140" s="7">
        <v>0.81</v>
      </c>
      <c r="Q140" s="7">
        <v>0</v>
      </c>
      <c r="R140" s="7">
        <v>0.13</v>
      </c>
      <c r="S140" s="7">
        <v>0.79</v>
      </c>
      <c r="T140" s="7">
        <v>0.94</v>
      </c>
      <c r="U140">
        <v>1</v>
      </c>
      <c r="V140">
        <v>1</v>
      </c>
    </row>
    <row r="141" spans="1:22">
      <c r="A141">
        <v>137</v>
      </c>
      <c r="B141" s="4">
        <v>46295.373969907407</v>
      </c>
      <c r="C141" s="5">
        <v>46295</v>
      </c>
      <c r="D141" s="6">
        <v>2.374085648148148</v>
      </c>
      <c r="E141" s="5">
        <v>46295</v>
      </c>
      <c r="F141" t="s">
        <v>24</v>
      </c>
      <c r="G141" t="s">
        <v>25</v>
      </c>
      <c r="H141" t="s">
        <v>26</v>
      </c>
      <c r="I141" t="s">
        <v>27</v>
      </c>
      <c r="J141" t="s">
        <v>27</v>
      </c>
      <c r="K141" t="s">
        <v>202</v>
      </c>
      <c r="L141" s="2" t="s">
        <v>120</v>
      </c>
      <c r="M141" s="8" t="s">
        <v>121</v>
      </c>
      <c r="N141" s="7">
        <v>0.81</v>
      </c>
      <c r="O141" s="2">
        <v>1</v>
      </c>
      <c r="P141" s="7">
        <v>0.81</v>
      </c>
      <c r="Q141" s="7">
        <v>0</v>
      </c>
      <c r="R141" s="7">
        <v>0.13</v>
      </c>
      <c r="S141" s="7">
        <v>0.79</v>
      </c>
      <c r="T141" s="7">
        <v>0.94</v>
      </c>
      <c r="U141">
        <v>2</v>
      </c>
      <c r="V141">
        <v>2</v>
      </c>
    </row>
    <row r="142" spans="1:22">
      <c r="A142">
        <v>138</v>
      </c>
      <c r="B142" s="4">
        <v>46295.376006944447</v>
      </c>
      <c r="C142" s="5">
        <v>46295</v>
      </c>
      <c r="D142" s="6">
        <v>2.3760069444444443</v>
      </c>
      <c r="E142" s="5">
        <v>46295</v>
      </c>
      <c r="F142" t="s">
        <v>24</v>
      </c>
      <c r="G142" t="s">
        <v>25</v>
      </c>
      <c r="H142" t="s">
        <v>26</v>
      </c>
      <c r="I142" t="s">
        <v>27</v>
      </c>
      <c r="J142" t="s">
        <v>27</v>
      </c>
      <c r="K142" t="s">
        <v>203</v>
      </c>
      <c r="L142" s="2" t="s">
        <v>143</v>
      </c>
      <c r="M142" s="8" t="s">
        <v>144</v>
      </c>
      <c r="N142" s="7">
        <v>1.25</v>
      </c>
      <c r="O142" s="2">
        <v>1</v>
      </c>
      <c r="P142" s="7">
        <v>1.25</v>
      </c>
      <c r="Q142" s="7">
        <v>0</v>
      </c>
      <c r="R142" s="7">
        <v>0</v>
      </c>
      <c r="S142" s="7">
        <v>1.21</v>
      </c>
      <c r="T142" s="7">
        <v>1.25</v>
      </c>
      <c r="U142">
        <v>2</v>
      </c>
      <c r="V142">
        <v>2</v>
      </c>
    </row>
    <row r="143" spans="1:22">
      <c r="A143">
        <v>139</v>
      </c>
      <c r="B143" s="4">
        <v>46295.376006944447</v>
      </c>
      <c r="C143" s="5">
        <v>46295</v>
      </c>
      <c r="D143" s="6">
        <v>2.3761342592592594</v>
      </c>
      <c r="E143" s="5">
        <v>46295</v>
      </c>
      <c r="F143" t="s">
        <v>24</v>
      </c>
      <c r="G143" t="s">
        <v>25</v>
      </c>
      <c r="H143" t="s">
        <v>26</v>
      </c>
      <c r="I143" t="s">
        <v>27</v>
      </c>
      <c r="J143" t="s">
        <v>27</v>
      </c>
      <c r="K143" t="s">
        <v>203</v>
      </c>
      <c r="L143" s="2" t="s">
        <v>98</v>
      </c>
      <c r="M143" s="8" t="s">
        <v>99</v>
      </c>
      <c r="N143" s="7">
        <v>0.81</v>
      </c>
      <c r="O143" s="2">
        <v>2</v>
      </c>
      <c r="P143" s="7">
        <v>1.62</v>
      </c>
      <c r="Q143" s="7">
        <v>0</v>
      </c>
      <c r="R143" s="7">
        <v>0.25</v>
      </c>
      <c r="S143" s="7">
        <v>1.57</v>
      </c>
      <c r="T143" s="7">
        <v>1.87</v>
      </c>
      <c r="U143">
        <v>2</v>
      </c>
      <c r="V143">
        <v>2</v>
      </c>
    </row>
    <row r="144" spans="1:22">
      <c r="A144">
        <v>140</v>
      </c>
      <c r="B144" s="4">
        <v>46295.376006944447</v>
      </c>
      <c r="C144" s="5">
        <v>46295</v>
      </c>
      <c r="D144" s="6">
        <v>2.3762268518518517</v>
      </c>
      <c r="E144" s="5">
        <v>46295</v>
      </c>
      <c r="F144" t="s">
        <v>24</v>
      </c>
      <c r="G144" t="s">
        <v>25</v>
      </c>
      <c r="H144" t="s">
        <v>26</v>
      </c>
      <c r="I144" t="s">
        <v>27</v>
      </c>
      <c r="J144" t="s">
        <v>27</v>
      </c>
      <c r="K144" t="s">
        <v>203</v>
      </c>
      <c r="L144" s="2" t="s">
        <v>68</v>
      </c>
      <c r="M144" s="8" t="s">
        <v>69</v>
      </c>
      <c r="N144" s="7">
        <v>1.63</v>
      </c>
      <c r="O144" s="2">
        <v>1</v>
      </c>
      <c r="P144" s="7">
        <v>1.63</v>
      </c>
      <c r="Q144" s="7">
        <v>0</v>
      </c>
      <c r="R144" s="7">
        <v>0.25</v>
      </c>
      <c r="S144" s="7">
        <v>0.17</v>
      </c>
      <c r="T144" s="7">
        <v>1.88</v>
      </c>
      <c r="U144">
        <v>2</v>
      </c>
      <c r="V144">
        <v>2</v>
      </c>
    </row>
    <row r="145" spans="1:22">
      <c r="A145">
        <v>141</v>
      </c>
      <c r="B145" s="4">
        <v>46295.376006944447</v>
      </c>
      <c r="C145" s="5">
        <v>46295</v>
      </c>
      <c r="D145" s="6">
        <v>2.3775694444444446</v>
      </c>
      <c r="E145" s="5">
        <v>46295</v>
      </c>
      <c r="F145" t="s">
        <v>24</v>
      </c>
      <c r="G145" t="s">
        <v>25</v>
      </c>
      <c r="H145" t="s">
        <v>26</v>
      </c>
      <c r="I145" t="s">
        <v>27</v>
      </c>
      <c r="J145" t="s">
        <v>27</v>
      </c>
      <c r="K145" t="s">
        <v>203</v>
      </c>
      <c r="L145" s="2" t="s">
        <v>38</v>
      </c>
      <c r="M145" s="8" t="s">
        <v>39</v>
      </c>
      <c r="N145" s="7">
        <v>0.03</v>
      </c>
      <c r="O145" s="2">
        <v>5</v>
      </c>
      <c r="P145" s="7">
        <v>0.15</v>
      </c>
      <c r="Q145" s="7">
        <v>0</v>
      </c>
      <c r="R145" s="7">
        <v>0.02</v>
      </c>
      <c r="S145" s="7">
        <v>0.05</v>
      </c>
      <c r="T145" s="7">
        <v>0.17</v>
      </c>
      <c r="U145">
        <v>2</v>
      </c>
      <c r="V145">
        <v>2</v>
      </c>
    </row>
    <row r="146" spans="1:22">
      <c r="A146">
        <v>142</v>
      </c>
      <c r="B146" s="4">
        <v>46295.401655092595</v>
      </c>
      <c r="C146" s="5">
        <v>46295</v>
      </c>
      <c r="D146" s="6">
        <v>2.4016435185185183</v>
      </c>
      <c r="E146" s="5">
        <v>46295</v>
      </c>
      <c r="F146" t="s">
        <v>24</v>
      </c>
      <c r="G146" t="s">
        <v>25</v>
      </c>
      <c r="H146" t="s">
        <v>26</v>
      </c>
      <c r="I146" t="s">
        <v>27</v>
      </c>
      <c r="J146" t="s">
        <v>27</v>
      </c>
      <c r="K146" t="s">
        <v>204</v>
      </c>
      <c r="L146" s="2" t="s">
        <v>149</v>
      </c>
      <c r="M146" s="8" t="s">
        <v>150</v>
      </c>
      <c r="N146" s="7">
        <v>0.55000000000000004</v>
      </c>
      <c r="O146" s="2">
        <v>1</v>
      </c>
      <c r="P146" s="7">
        <v>0.55000000000000004</v>
      </c>
      <c r="Q146" s="7">
        <v>0</v>
      </c>
      <c r="R146" s="7">
        <v>0.08</v>
      </c>
      <c r="S146" s="7">
        <v>0.54</v>
      </c>
      <c r="T146" s="7">
        <v>0.63</v>
      </c>
      <c r="U146">
        <v>2</v>
      </c>
      <c r="V146">
        <v>2</v>
      </c>
    </row>
    <row r="147" spans="1:22">
      <c r="A147">
        <v>143</v>
      </c>
      <c r="B147" s="4">
        <v>46295.401655092595</v>
      </c>
      <c r="C147" s="5">
        <v>46295</v>
      </c>
      <c r="D147" s="6">
        <v>2.4019560185185185</v>
      </c>
      <c r="E147" s="5">
        <v>46295</v>
      </c>
      <c r="F147" t="s">
        <v>24</v>
      </c>
      <c r="G147" t="s">
        <v>25</v>
      </c>
      <c r="H147" t="s">
        <v>26</v>
      </c>
      <c r="I147" t="s">
        <v>27</v>
      </c>
      <c r="J147" t="s">
        <v>27</v>
      </c>
      <c r="K147" t="s">
        <v>204</v>
      </c>
      <c r="L147" s="2" t="s">
        <v>205</v>
      </c>
      <c r="M147" s="8" t="s">
        <v>206</v>
      </c>
      <c r="N147" s="7">
        <v>0.55000000000000004</v>
      </c>
      <c r="O147" s="2">
        <v>1</v>
      </c>
      <c r="P147" s="7">
        <v>0.55000000000000004</v>
      </c>
      <c r="Q147" s="7">
        <v>0</v>
      </c>
      <c r="R147" s="7">
        <v>0.08</v>
      </c>
      <c r="S147" s="7">
        <v>0.54</v>
      </c>
      <c r="T147" s="7">
        <v>0.63</v>
      </c>
      <c r="U147">
        <v>2</v>
      </c>
      <c r="V147">
        <v>2</v>
      </c>
    </row>
    <row r="148" spans="1:22">
      <c r="A148">
        <v>144</v>
      </c>
      <c r="B148" s="4">
        <v>46295.419050925928</v>
      </c>
      <c r="C148" s="5">
        <v>46295</v>
      </c>
      <c r="D148" s="6">
        <v>2.4190509259259261</v>
      </c>
      <c r="E148" s="5">
        <v>46295</v>
      </c>
      <c r="F148" t="s">
        <v>24</v>
      </c>
      <c r="G148" t="s">
        <v>25</v>
      </c>
      <c r="H148" t="s">
        <v>26</v>
      </c>
      <c r="I148" t="s">
        <v>27</v>
      </c>
      <c r="J148" t="s">
        <v>27</v>
      </c>
      <c r="K148" t="s">
        <v>207</v>
      </c>
      <c r="L148" s="2" t="s">
        <v>88</v>
      </c>
      <c r="M148" s="8" t="s">
        <v>89</v>
      </c>
      <c r="N148" s="7">
        <v>0.81</v>
      </c>
      <c r="O148" s="2">
        <v>1</v>
      </c>
      <c r="P148" s="7">
        <v>0.81</v>
      </c>
      <c r="Q148" s="7">
        <v>0</v>
      </c>
      <c r="R148" s="7">
        <v>0.13</v>
      </c>
      <c r="S148" s="7">
        <v>0.79</v>
      </c>
      <c r="T148" s="7">
        <v>0.94</v>
      </c>
      <c r="U148">
        <v>2</v>
      </c>
      <c r="V148">
        <v>2</v>
      </c>
    </row>
    <row r="149" spans="1:22">
      <c r="A149">
        <v>145</v>
      </c>
      <c r="B149" s="4">
        <v>46295.427222222221</v>
      </c>
      <c r="C149" s="5">
        <v>46295</v>
      </c>
      <c r="D149" s="6">
        <v>2.4272222222222224</v>
      </c>
      <c r="E149" s="5">
        <v>46295</v>
      </c>
      <c r="F149" t="s">
        <v>24</v>
      </c>
      <c r="G149" t="s">
        <v>25</v>
      </c>
      <c r="H149" t="s">
        <v>26</v>
      </c>
      <c r="I149" t="s">
        <v>27</v>
      </c>
      <c r="J149" t="s">
        <v>27</v>
      </c>
      <c r="K149" t="s">
        <v>208</v>
      </c>
      <c r="L149" s="2" t="s">
        <v>63</v>
      </c>
      <c r="M149" s="8" t="s">
        <v>64</v>
      </c>
      <c r="N149" s="7">
        <v>1.9</v>
      </c>
      <c r="O149" s="2">
        <v>1</v>
      </c>
      <c r="P149" s="7">
        <v>1.9</v>
      </c>
      <c r="Q149" s="7">
        <v>0</v>
      </c>
      <c r="R149" s="7">
        <v>0.28999999999999998</v>
      </c>
      <c r="S149" s="7">
        <v>1.83</v>
      </c>
      <c r="T149" s="7">
        <v>2.19</v>
      </c>
      <c r="U149">
        <v>2</v>
      </c>
      <c r="V149">
        <v>2</v>
      </c>
    </row>
    <row r="150" spans="1:22">
      <c r="A150">
        <v>146</v>
      </c>
      <c r="B150" s="4">
        <v>46295.437719907408</v>
      </c>
      <c r="C150" s="5">
        <v>46295</v>
      </c>
      <c r="D150" s="6">
        <v>2.4377083333333331</v>
      </c>
      <c r="E150" s="5">
        <v>46295</v>
      </c>
      <c r="F150" t="s">
        <v>24</v>
      </c>
      <c r="G150" t="s">
        <v>25</v>
      </c>
      <c r="H150" t="s">
        <v>26</v>
      </c>
      <c r="I150" t="s">
        <v>27</v>
      </c>
      <c r="J150" t="s">
        <v>27</v>
      </c>
      <c r="K150" t="s">
        <v>209</v>
      </c>
      <c r="L150" s="2" t="s">
        <v>53</v>
      </c>
      <c r="M150" s="8" t="s">
        <v>54</v>
      </c>
      <c r="N150" s="7">
        <v>0.38</v>
      </c>
      <c r="O150" s="2">
        <v>1</v>
      </c>
      <c r="P150" s="7">
        <v>0.38</v>
      </c>
      <c r="Q150" s="7">
        <v>0</v>
      </c>
      <c r="R150" s="7">
        <v>0.06</v>
      </c>
      <c r="S150" s="7">
        <v>0.3</v>
      </c>
      <c r="T150" s="7">
        <v>0.44</v>
      </c>
      <c r="U150">
        <v>2</v>
      </c>
      <c r="V150">
        <v>2</v>
      </c>
    </row>
    <row r="151" spans="1:22">
      <c r="A151">
        <v>147</v>
      </c>
      <c r="B151" s="4">
        <v>46295.450208333335</v>
      </c>
      <c r="C151" s="5">
        <v>46295</v>
      </c>
      <c r="D151" s="6">
        <v>2.4502083333333333</v>
      </c>
      <c r="E151" s="5">
        <v>46295</v>
      </c>
      <c r="F151" t="s">
        <v>24</v>
      </c>
      <c r="G151" t="s">
        <v>25</v>
      </c>
      <c r="H151" t="s">
        <v>26</v>
      </c>
      <c r="I151" t="s">
        <v>27</v>
      </c>
      <c r="J151" t="s">
        <v>27</v>
      </c>
      <c r="K151" t="s">
        <v>210</v>
      </c>
      <c r="L151" s="2" t="s">
        <v>143</v>
      </c>
      <c r="M151" s="8" t="s">
        <v>144</v>
      </c>
      <c r="N151" s="7">
        <v>1.25</v>
      </c>
      <c r="O151" s="2">
        <v>2</v>
      </c>
      <c r="P151" s="7">
        <v>2.5</v>
      </c>
      <c r="Q151" s="7">
        <v>0</v>
      </c>
      <c r="R151" s="7">
        <v>0</v>
      </c>
      <c r="S151" s="7">
        <v>2.41</v>
      </c>
      <c r="T151" s="7">
        <v>2.5</v>
      </c>
      <c r="U151">
        <v>2</v>
      </c>
      <c r="V151">
        <v>2</v>
      </c>
    </row>
    <row r="152" spans="1:22">
      <c r="A152">
        <v>148</v>
      </c>
      <c r="B152" s="4">
        <v>46295.450208333335</v>
      </c>
      <c r="C152" s="5">
        <v>46295</v>
      </c>
      <c r="D152" s="6">
        <v>2.4508333333333332</v>
      </c>
      <c r="E152" s="5">
        <v>46295</v>
      </c>
      <c r="F152" t="s">
        <v>24</v>
      </c>
      <c r="G152" t="s">
        <v>25</v>
      </c>
      <c r="H152" t="s">
        <v>26</v>
      </c>
      <c r="I152" t="s">
        <v>27</v>
      </c>
      <c r="J152" t="s">
        <v>27</v>
      </c>
      <c r="K152" t="s">
        <v>210</v>
      </c>
      <c r="L152" s="2" t="s">
        <v>211</v>
      </c>
      <c r="M152" s="8" t="s">
        <v>212</v>
      </c>
      <c r="N152" s="7">
        <v>1.56</v>
      </c>
      <c r="O152" s="2">
        <v>1</v>
      </c>
      <c r="P152" s="7">
        <v>1.56</v>
      </c>
      <c r="Q152" s="7">
        <v>0</v>
      </c>
      <c r="R152" s="7">
        <v>0</v>
      </c>
      <c r="S152" s="7">
        <v>1.51</v>
      </c>
      <c r="T152" s="7">
        <v>1.56</v>
      </c>
      <c r="U152">
        <v>2</v>
      </c>
      <c r="V152">
        <v>2</v>
      </c>
    </row>
    <row r="153" spans="1:22">
      <c r="A153">
        <v>149</v>
      </c>
      <c r="B153" s="4">
        <v>46295.469965277778</v>
      </c>
      <c r="C153" s="5">
        <v>46295</v>
      </c>
      <c r="D153" s="6">
        <v>2.4699537037037036</v>
      </c>
      <c r="E153" s="5">
        <v>46295</v>
      </c>
      <c r="F153" t="s">
        <v>24</v>
      </c>
      <c r="G153" t="s">
        <v>25</v>
      </c>
      <c r="H153" t="s">
        <v>26</v>
      </c>
      <c r="I153" t="s">
        <v>27</v>
      </c>
      <c r="J153" t="s">
        <v>27</v>
      </c>
      <c r="K153" t="s">
        <v>213</v>
      </c>
      <c r="L153" s="2" t="s">
        <v>81</v>
      </c>
      <c r="M153" s="8" t="s">
        <v>82</v>
      </c>
      <c r="N153" s="7">
        <v>1.08</v>
      </c>
      <c r="O153" s="2">
        <v>1</v>
      </c>
      <c r="P153" s="7">
        <v>1.08</v>
      </c>
      <c r="Q153" s="7">
        <v>0</v>
      </c>
      <c r="R153" s="7">
        <v>0.17</v>
      </c>
      <c r="S153" s="7">
        <v>0.26</v>
      </c>
      <c r="T153" s="7">
        <v>1.25</v>
      </c>
      <c r="U153">
        <v>2</v>
      </c>
      <c r="V153">
        <v>2</v>
      </c>
    </row>
    <row r="154" spans="1:22">
      <c r="A154">
        <v>150</v>
      </c>
      <c r="B154" s="4">
        <v>46295.469965277778</v>
      </c>
      <c r="C154" s="5">
        <v>46295</v>
      </c>
      <c r="D154" s="6">
        <v>2.4700347222222221</v>
      </c>
      <c r="E154" s="5">
        <v>46295</v>
      </c>
      <c r="F154" t="s">
        <v>24</v>
      </c>
      <c r="G154" t="s">
        <v>25</v>
      </c>
      <c r="H154" t="s">
        <v>26</v>
      </c>
      <c r="I154" t="s">
        <v>27</v>
      </c>
      <c r="J154" t="s">
        <v>27</v>
      </c>
      <c r="K154" t="s">
        <v>213</v>
      </c>
      <c r="L154" s="2" t="s">
        <v>113</v>
      </c>
      <c r="M154" s="8" t="s">
        <v>114</v>
      </c>
      <c r="N154" s="7">
        <v>1.08</v>
      </c>
      <c r="O154" s="2">
        <v>1</v>
      </c>
      <c r="P154" s="7">
        <v>1.08</v>
      </c>
      <c r="Q154" s="7">
        <v>0</v>
      </c>
      <c r="R154" s="7">
        <v>0.17</v>
      </c>
      <c r="S154" s="7">
        <v>0.26</v>
      </c>
      <c r="T154" s="7">
        <v>1.25</v>
      </c>
      <c r="U154">
        <v>2</v>
      </c>
      <c r="V154">
        <v>2</v>
      </c>
    </row>
    <row r="155" spans="1:22">
      <c r="A155">
        <v>151</v>
      </c>
      <c r="B155" s="4">
        <v>46295.480462962965</v>
      </c>
      <c r="C155" s="5">
        <v>46295</v>
      </c>
      <c r="D155" s="6">
        <v>2.4804513888888891</v>
      </c>
      <c r="E155" s="5">
        <v>46295</v>
      </c>
      <c r="F155" t="s">
        <v>24</v>
      </c>
      <c r="G155" t="s">
        <v>25</v>
      </c>
      <c r="H155" t="s">
        <v>26</v>
      </c>
      <c r="I155" t="s">
        <v>27</v>
      </c>
      <c r="J155" t="s">
        <v>27</v>
      </c>
      <c r="K155" t="s">
        <v>214</v>
      </c>
      <c r="L155" s="2" t="s">
        <v>215</v>
      </c>
      <c r="M155" s="8" t="s">
        <v>216</v>
      </c>
      <c r="N155" s="7">
        <v>0.81</v>
      </c>
      <c r="O155" s="2">
        <v>1</v>
      </c>
      <c r="P155" s="7">
        <v>0.81</v>
      </c>
      <c r="Q155" s="7">
        <v>0</v>
      </c>
      <c r="R155" s="7">
        <v>0.13</v>
      </c>
      <c r="S155" s="7">
        <v>0.78</v>
      </c>
      <c r="T155" s="7">
        <v>0.94</v>
      </c>
      <c r="U155">
        <v>2</v>
      </c>
      <c r="V155">
        <v>2</v>
      </c>
    </row>
    <row r="156" spans="1:22">
      <c r="A156">
        <v>152</v>
      </c>
      <c r="B156" s="4">
        <v>46295.4846412037</v>
      </c>
      <c r="C156" s="5">
        <v>46295</v>
      </c>
      <c r="D156" s="6">
        <v>2.4846296296296297</v>
      </c>
      <c r="E156" s="5">
        <v>46295</v>
      </c>
      <c r="F156" t="s">
        <v>24</v>
      </c>
      <c r="G156" t="s">
        <v>25</v>
      </c>
      <c r="H156" t="s">
        <v>26</v>
      </c>
      <c r="I156" t="s">
        <v>27</v>
      </c>
      <c r="J156" t="s">
        <v>27</v>
      </c>
      <c r="K156" t="s">
        <v>217</v>
      </c>
      <c r="L156" s="2" t="s">
        <v>218</v>
      </c>
      <c r="M156" s="8" t="s">
        <v>219</v>
      </c>
      <c r="N156" s="7">
        <v>1.9</v>
      </c>
      <c r="O156" s="2">
        <v>1</v>
      </c>
      <c r="P156" s="7">
        <v>1.9</v>
      </c>
      <c r="Q156" s="7">
        <v>0</v>
      </c>
      <c r="R156" s="7">
        <v>0.28999999999999998</v>
      </c>
      <c r="S156" s="7">
        <v>1.84</v>
      </c>
      <c r="T156" s="7">
        <v>2.19</v>
      </c>
      <c r="U156">
        <v>2</v>
      </c>
      <c r="V156">
        <v>2</v>
      </c>
    </row>
    <row r="157" spans="1:22">
      <c r="A157">
        <v>153</v>
      </c>
      <c r="B157" s="4">
        <v>46295.485856481479</v>
      </c>
      <c r="C157" s="5">
        <v>46295</v>
      </c>
      <c r="D157" s="6">
        <v>2.4858449074074076</v>
      </c>
      <c r="E157" s="5">
        <v>46295</v>
      </c>
      <c r="F157" t="s">
        <v>24</v>
      </c>
      <c r="G157" t="s">
        <v>25</v>
      </c>
      <c r="H157" t="s">
        <v>26</v>
      </c>
      <c r="I157" t="s">
        <v>27</v>
      </c>
      <c r="J157" t="s">
        <v>27</v>
      </c>
      <c r="K157" t="s">
        <v>220</v>
      </c>
      <c r="L157" s="2" t="s">
        <v>221</v>
      </c>
      <c r="M157" s="8" t="s">
        <v>222</v>
      </c>
      <c r="N157" s="7">
        <v>0.81</v>
      </c>
      <c r="O157" s="2">
        <v>1</v>
      </c>
      <c r="P157" s="7">
        <v>0.81</v>
      </c>
      <c r="Q157" s="7">
        <v>0</v>
      </c>
      <c r="R157" s="7">
        <v>0.13</v>
      </c>
      <c r="S157" s="7">
        <v>0.78</v>
      </c>
      <c r="T157" s="7">
        <v>0.94</v>
      </c>
      <c r="U157">
        <v>2</v>
      </c>
      <c r="V157">
        <v>2</v>
      </c>
    </row>
    <row r="158" spans="1:22">
      <c r="A158">
        <v>154</v>
      </c>
      <c r="B158" s="4">
        <v>46295.495000000003</v>
      </c>
      <c r="C158" s="5">
        <v>46295</v>
      </c>
      <c r="D158" s="6">
        <v>2.4950000000000001</v>
      </c>
      <c r="E158" s="5">
        <v>46295</v>
      </c>
      <c r="F158" t="s">
        <v>24</v>
      </c>
      <c r="G158" t="s">
        <v>25</v>
      </c>
      <c r="H158" t="s">
        <v>26</v>
      </c>
      <c r="I158" t="s">
        <v>27</v>
      </c>
      <c r="J158" t="s">
        <v>27</v>
      </c>
      <c r="K158" t="s">
        <v>223</v>
      </c>
      <c r="L158" s="2" t="s">
        <v>224</v>
      </c>
      <c r="M158" s="8" t="s">
        <v>225</v>
      </c>
      <c r="N158" s="7">
        <v>0.81</v>
      </c>
      <c r="O158" s="2">
        <v>1</v>
      </c>
      <c r="P158" s="7">
        <v>0.81</v>
      </c>
      <c r="Q158" s="7">
        <v>0</v>
      </c>
      <c r="R158" s="7">
        <v>0.13</v>
      </c>
      <c r="S158" s="7">
        <v>0.79</v>
      </c>
      <c r="T158" s="7">
        <v>0.94</v>
      </c>
      <c r="U158">
        <v>2</v>
      </c>
      <c r="V158">
        <v>2</v>
      </c>
    </row>
    <row r="159" spans="1:22">
      <c r="A159">
        <v>155</v>
      </c>
      <c r="B159" s="4">
        <v>46295.495000000003</v>
      </c>
      <c r="C159" s="5">
        <v>46295</v>
      </c>
      <c r="D159" s="6">
        <v>2.4952314814814813</v>
      </c>
      <c r="E159" s="5">
        <v>46295</v>
      </c>
      <c r="F159" t="s">
        <v>24</v>
      </c>
      <c r="G159" t="s">
        <v>25</v>
      </c>
      <c r="H159" t="s">
        <v>26</v>
      </c>
      <c r="I159" t="s">
        <v>27</v>
      </c>
      <c r="J159" t="s">
        <v>27</v>
      </c>
      <c r="K159" t="s">
        <v>223</v>
      </c>
      <c r="L159" s="2" t="s">
        <v>226</v>
      </c>
      <c r="M159" s="8" t="s">
        <v>227</v>
      </c>
      <c r="N159" s="7">
        <v>4.33</v>
      </c>
      <c r="O159" s="2">
        <v>1</v>
      </c>
      <c r="P159" s="7">
        <v>4.33</v>
      </c>
      <c r="Q159" s="7">
        <v>0</v>
      </c>
      <c r="R159" s="7">
        <v>0.67</v>
      </c>
      <c r="S159" s="7">
        <v>1.68</v>
      </c>
      <c r="T159" s="7">
        <v>5</v>
      </c>
      <c r="U159">
        <v>2</v>
      </c>
      <c r="V159">
        <v>2</v>
      </c>
    </row>
    <row r="160" spans="1:22">
      <c r="A160">
        <v>156</v>
      </c>
      <c r="B160" s="4">
        <v>46295.495000000003</v>
      </c>
      <c r="C160" s="5">
        <v>46295</v>
      </c>
      <c r="D160" s="6">
        <v>2.4956828703703704</v>
      </c>
      <c r="E160" s="5">
        <v>46295</v>
      </c>
      <c r="F160" t="s">
        <v>24</v>
      </c>
      <c r="G160" t="s">
        <v>25</v>
      </c>
      <c r="H160" t="s">
        <v>26</v>
      </c>
      <c r="I160" t="s">
        <v>27</v>
      </c>
      <c r="J160" t="s">
        <v>27</v>
      </c>
      <c r="K160" t="s">
        <v>223</v>
      </c>
      <c r="L160" s="2" t="s">
        <v>53</v>
      </c>
      <c r="M160" s="8" t="s">
        <v>54</v>
      </c>
      <c r="N160" s="7">
        <v>0.38</v>
      </c>
      <c r="O160" s="2">
        <v>1</v>
      </c>
      <c r="P160" s="7">
        <v>0.38</v>
      </c>
      <c r="Q160" s="7">
        <v>0</v>
      </c>
      <c r="R160" s="7">
        <v>0.06</v>
      </c>
      <c r="S160" s="7">
        <v>0.3</v>
      </c>
      <c r="T160" s="7">
        <v>0.44</v>
      </c>
      <c r="U160">
        <v>2</v>
      </c>
      <c r="V160">
        <v>2</v>
      </c>
    </row>
    <row r="161" spans="1:22">
      <c r="A161">
        <v>157</v>
      </c>
      <c r="B161" s="4">
        <v>46295.501273148147</v>
      </c>
      <c r="C161" s="5">
        <v>46295</v>
      </c>
      <c r="D161" s="6">
        <v>2.5030092592592594</v>
      </c>
      <c r="E161" s="5">
        <v>46295</v>
      </c>
      <c r="F161" t="s">
        <v>24</v>
      </c>
      <c r="G161" t="s">
        <v>25</v>
      </c>
      <c r="H161" t="s">
        <v>26</v>
      </c>
      <c r="I161" t="s">
        <v>27</v>
      </c>
      <c r="J161" t="s">
        <v>27</v>
      </c>
      <c r="K161" t="s">
        <v>228</v>
      </c>
      <c r="L161" s="2" t="s">
        <v>229</v>
      </c>
      <c r="M161" s="8" t="s">
        <v>230</v>
      </c>
      <c r="N161" s="7">
        <v>0.81</v>
      </c>
      <c r="O161" s="2">
        <v>2</v>
      </c>
      <c r="P161" s="7">
        <v>1.62</v>
      </c>
      <c r="Q161" s="7">
        <v>0</v>
      </c>
      <c r="R161" s="7">
        <v>0.25</v>
      </c>
      <c r="S161" s="7">
        <v>1.57</v>
      </c>
      <c r="T161" s="7">
        <v>1.87</v>
      </c>
      <c r="U161">
        <v>2</v>
      </c>
      <c r="V161">
        <v>2</v>
      </c>
    </row>
    <row r="162" spans="1:22">
      <c r="A162">
        <v>158</v>
      </c>
      <c r="B162" s="4">
        <v>46295.501273148147</v>
      </c>
      <c r="C162" s="5">
        <v>46295</v>
      </c>
      <c r="D162" s="6">
        <v>2.5030092592592594</v>
      </c>
      <c r="E162" s="5">
        <v>46295</v>
      </c>
      <c r="F162" t="s">
        <v>24</v>
      </c>
      <c r="G162" t="s">
        <v>25</v>
      </c>
      <c r="H162" t="s">
        <v>26</v>
      </c>
      <c r="I162" t="s">
        <v>27</v>
      </c>
      <c r="J162" t="s">
        <v>27</v>
      </c>
      <c r="K162" t="s">
        <v>228</v>
      </c>
      <c r="L162" s="3" t="s">
        <v>231</v>
      </c>
      <c r="M162" s="8" t="s">
        <v>232</v>
      </c>
      <c r="N162" s="7">
        <v>0.55000000000000004</v>
      </c>
      <c r="O162" s="2">
        <v>2</v>
      </c>
      <c r="P162" s="7">
        <v>1.1000000000000001</v>
      </c>
      <c r="Q162" s="7">
        <v>0</v>
      </c>
      <c r="R162" s="7">
        <v>0.17</v>
      </c>
      <c r="S162" s="7">
        <v>1.08</v>
      </c>
      <c r="T162" s="7">
        <v>1.27</v>
      </c>
      <c r="U162">
        <v>2</v>
      </c>
      <c r="V162">
        <v>2</v>
      </c>
    </row>
    <row r="163" spans="1:22">
      <c r="A163">
        <v>159</v>
      </c>
      <c r="B163" s="4">
        <v>46295.501273148147</v>
      </c>
      <c r="C163" s="5">
        <v>46295</v>
      </c>
      <c r="D163" s="6">
        <v>2.5030092592592594</v>
      </c>
      <c r="E163" s="5">
        <v>46295</v>
      </c>
      <c r="F163" t="s">
        <v>24</v>
      </c>
      <c r="G163" t="s">
        <v>25</v>
      </c>
      <c r="H163" t="s">
        <v>26</v>
      </c>
      <c r="I163" t="s">
        <v>27</v>
      </c>
      <c r="J163" t="s">
        <v>27</v>
      </c>
      <c r="K163" t="s">
        <v>228</v>
      </c>
      <c r="L163" s="2" t="s">
        <v>109</v>
      </c>
      <c r="M163" s="8" t="s">
        <v>110</v>
      </c>
      <c r="N163" s="7">
        <v>1.08</v>
      </c>
      <c r="O163" s="2">
        <v>1</v>
      </c>
      <c r="P163" s="7">
        <v>1.08</v>
      </c>
      <c r="Q163" s="7">
        <v>0</v>
      </c>
      <c r="R163" s="7">
        <v>0.17</v>
      </c>
      <c r="S163" s="7">
        <v>0.26</v>
      </c>
      <c r="T163" s="7">
        <v>1.25</v>
      </c>
      <c r="U163">
        <v>2</v>
      </c>
      <c r="V163">
        <v>2</v>
      </c>
    </row>
    <row r="164" spans="1:22">
      <c r="A164">
        <v>160</v>
      </c>
      <c r="B164" s="4">
        <v>46295.505925925929</v>
      </c>
      <c r="C164" s="5">
        <v>46295</v>
      </c>
      <c r="D164" s="6">
        <v>2.5059259259259261</v>
      </c>
      <c r="E164" s="5">
        <v>46295</v>
      </c>
      <c r="F164" t="s">
        <v>24</v>
      </c>
      <c r="G164" t="s">
        <v>25</v>
      </c>
      <c r="H164" t="s">
        <v>26</v>
      </c>
      <c r="I164" t="s">
        <v>27</v>
      </c>
      <c r="J164" t="s">
        <v>27</v>
      </c>
      <c r="K164" t="s">
        <v>233</v>
      </c>
      <c r="L164" s="2" t="s">
        <v>88</v>
      </c>
      <c r="M164" s="8" t="s">
        <v>89</v>
      </c>
      <c r="N164" s="7">
        <v>0.81</v>
      </c>
      <c r="O164" s="2">
        <v>1</v>
      </c>
      <c r="P164" s="7">
        <v>0.81</v>
      </c>
      <c r="Q164" s="7">
        <v>0</v>
      </c>
      <c r="R164" s="7">
        <v>0.13</v>
      </c>
      <c r="S164" s="7">
        <v>0.79</v>
      </c>
      <c r="T164" s="7">
        <v>0.94</v>
      </c>
      <c r="U164">
        <v>2</v>
      </c>
      <c r="V164">
        <v>2</v>
      </c>
    </row>
    <row r="165" spans="1:22">
      <c r="A165">
        <v>161</v>
      </c>
      <c r="B165" s="4">
        <v>46295.505925925929</v>
      </c>
      <c r="C165" s="5">
        <v>46295</v>
      </c>
      <c r="D165" s="6">
        <v>2.5059837962962961</v>
      </c>
      <c r="E165" s="5">
        <v>46295</v>
      </c>
      <c r="F165" t="s">
        <v>24</v>
      </c>
      <c r="G165" t="s">
        <v>25</v>
      </c>
      <c r="H165" t="s">
        <v>26</v>
      </c>
      <c r="I165" t="s">
        <v>27</v>
      </c>
      <c r="J165" t="s">
        <v>27</v>
      </c>
      <c r="K165" t="s">
        <v>233</v>
      </c>
      <c r="L165" s="2" t="s">
        <v>100</v>
      </c>
      <c r="M165" s="8" t="s">
        <v>101</v>
      </c>
      <c r="N165" s="7">
        <v>0.81</v>
      </c>
      <c r="O165" s="2">
        <v>1</v>
      </c>
      <c r="P165" s="7">
        <v>0.81</v>
      </c>
      <c r="Q165" s="7">
        <v>0</v>
      </c>
      <c r="R165" s="7">
        <v>0.13</v>
      </c>
      <c r="S165" s="7">
        <v>0.39</v>
      </c>
      <c r="T165" s="7">
        <v>0.94</v>
      </c>
      <c r="U165">
        <v>2</v>
      </c>
      <c r="V165">
        <v>2</v>
      </c>
    </row>
    <row r="166" spans="1:22">
      <c r="A166">
        <v>162</v>
      </c>
      <c r="B166" s="4">
        <v>46295.515208333331</v>
      </c>
      <c r="C166" s="5">
        <v>46295</v>
      </c>
      <c r="D166" s="6">
        <v>2.5152083333333333</v>
      </c>
      <c r="E166" s="5">
        <v>46295</v>
      </c>
      <c r="F166" t="s">
        <v>24</v>
      </c>
      <c r="G166" t="s">
        <v>25</v>
      </c>
      <c r="H166" t="s">
        <v>26</v>
      </c>
      <c r="I166" t="s">
        <v>27</v>
      </c>
      <c r="J166" t="s">
        <v>27</v>
      </c>
      <c r="K166" t="s">
        <v>234</v>
      </c>
      <c r="L166" s="2" t="s">
        <v>90</v>
      </c>
      <c r="M166" s="8" t="s">
        <v>91</v>
      </c>
      <c r="N166" s="7">
        <v>1.08</v>
      </c>
      <c r="O166" s="2">
        <v>1</v>
      </c>
      <c r="P166" s="7">
        <v>1.08</v>
      </c>
      <c r="Q166" s="7">
        <v>0</v>
      </c>
      <c r="R166" s="7">
        <v>0.17</v>
      </c>
      <c r="S166" s="7">
        <v>1.04</v>
      </c>
      <c r="T166" s="7">
        <v>1.25</v>
      </c>
      <c r="U166">
        <v>2</v>
      </c>
      <c r="V166">
        <v>2</v>
      </c>
    </row>
    <row r="167" spans="1:22">
      <c r="A167">
        <v>163</v>
      </c>
      <c r="B167" s="4">
        <v>46295.515208333331</v>
      </c>
      <c r="C167" s="5">
        <v>46295</v>
      </c>
      <c r="D167" s="6">
        <v>2.5153472222222222</v>
      </c>
      <c r="E167" s="5">
        <v>46295</v>
      </c>
      <c r="F167" t="s">
        <v>24</v>
      </c>
      <c r="G167" t="s">
        <v>25</v>
      </c>
      <c r="H167" t="s">
        <v>26</v>
      </c>
      <c r="I167" t="s">
        <v>27</v>
      </c>
      <c r="J167" t="s">
        <v>27</v>
      </c>
      <c r="K167" t="s">
        <v>234</v>
      </c>
      <c r="L167" s="2" t="s">
        <v>113</v>
      </c>
      <c r="M167" s="8" t="s">
        <v>114</v>
      </c>
      <c r="N167" s="7">
        <v>1.08</v>
      </c>
      <c r="O167" s="2">
        <v>2</v>
      </c>
      <c r="P167" s="7">
        <v>2.16</v>
      </c>
      <c r="Q167" s="7">
        <v>0</v>
      </c>
      <c r="R167" s="7">
        <v>0.34</v>
      </c>
      <c r="S167" s="7">
        <v>0.51</v>
      </c>
      <c r="T167" s="7">
        <v>2.5</v>
      </c>
      <c r="U167">
        <v>2</v>
      </c>
      <c r="V167">
        <v>2</v>
      </c>
    </row>
    <row r="168" spans="1:22">
      <c r="A168">
        <v>164</v>
      </c>
      <c r="B168" s="4">
        <v>46295.515208333331</v>
      </c>
      <c r="C168" s="5">
        <v>46295</v>
      </c>
      <c r="D168" s="6">
        <v>2.5154282407407407</v>
      </c>
      <c r="E168" s="5">
        <v>46295</v>
      </c>
      <c r="F168" t="s">
        <v>24</v>
      </c>
      <c r="G168" t="s">
        <v>25</v>
      </c>
      <c r="H168" t="s">
        <v>26</v>
      </c>
      <c r="I168" t="s">
        <v>27</v>
      </c>
      <c r="J168" t="s">
        <v>27</v>
      </c>
      <c r="K168" t="s">
        <v>234</v>
      </c>
      <c r="L168" s="2" t="s">
        <v>29</v>
      </c>
      <c r="M168" s="8" t="s">
        <v>30</v>
      </c>
      <c r="N168" s="7">
        <v>0.81</v>
      </c>
      <c r="O168" s="2">
        <v>1</v>
      </c>
      <c r="P168" s="7">
        <v>0.81</v>
      </c>
      <c r="Q168" s="7">
        <v>0</v>
      </c>
      <c r="R168" s="7">
        <v>0.13</v>
      </c>
      <c r="S168" s="7">
        <v>0.43</v>
      </c>
      <c r="T168" s="7">
        <v>0.94</v>
      </c>
      <c r="U168">
        <v>2</v>
      </c>
      <c r="V168">
        <v>2</v>
      </c>
    </row>
    <row r="169" spans="1:22">
      <c r="A169">
        <v>165</v>
      </c>
      <c r="B169" s="4">
        <v>46295.520844907405</v>
      </c>
      <c r="C169" s="5">
        <v>46295</v>
      </c>
      <c r="D169" s="6">
        <v>2.5208449074074073</v>
      </c>
      <c r="E169" s="5">
        <v>46295</v>
      </c>
      <c r="F169" t="s">
        <v>24</v>
      </c>
      <c r="G169" t="s">
        <v>25</v>
      </c>
      <c r="H169" t="s">
        <v>26</v>
      </c>
      <c r="I169" t="s">
        <v>27</v>
      </c>
      <c r="J169" t="s">
        <v>27</v>
      </c>
      <c r="K169" t="s">
        <v>235</v>
      </c>
      <c r="L169" s="2" t="s">
        <v>236</v>
      </c>
      <c r="M169" s="8" t="s">
        <v>237</v>
      </c>
      <c r="N169" s="7">
        <v>5.14</v>
      </c>
      <c r="O169" s="2">
        <v>1</v>
      </c>
      <c r="P169" s="7">
        <v>5.14</v>
      </c>
      <c r="Q169" s="7">
        <v>0</v>
      </c>
      <c r="R169" s="7">
        <v>0.8</v>
      </c>
      <c r="S169" s="7">
        <v>1.18</v>
      </c>
      <c r="T169" s="7">
        <v>5.94</v>
      </c>
      <c r="U169">
        <v>2</v>
      </c>
      <c r="V169">
        <v>2</v>
      </c>
    </row>
    <row r="170" spans="1:22">
      <c r="A170">
        <v>166</v>
      </c>
      <c r="B170" s="4">
        <v>46295.537499999999</v>
      </c>
      <c r="C170" s="5">
        <v>46295</v>
      </c>
      <c r="D170" s="6">
        <v>2.5375000000000001</v>
      </c>
      <c r="E170" s="5">
        <v>46295</v>
      </c>
      <c r="F170" t="s">
        <v>24</v>
      </c>
      <c r="G170" t="s">
        <v>25</v>
      </c>
      <c r="H170" t="s">
        <v>26</v>
      </c>
      <c r="I170" t="s">
        <v>27</v>
      </c>
      <c r="J170" t="s">
        <v>27</v>
      </c>
      <c r="K170" t="s">
        <v>238</v>
      </c>
      <c r="L170" s="2" t="s">
        <v>109</v>
      </c>
      <c r="M170" s="8" t="s">
        <v>110</v>
      </c>
      <c r="N170" s="7">
        <v>1.08</v>
      </c>
      <c r="O170" s="2">
        <v>1</v>
      </c>
      <c r="P170" s="7">
        <v>1.08</v>
      </c>
      <c r="Q170" s="7">
        <v>0</v>
      </c>
      <c r="R170" s="7">
        <v>0.17</v>
      </c>
      <c r="S170" s="7">
        <v>0.26</v>
      </c>
      <c r="T170" s="7">
        <v>1.25</v>
      </c>
      <c r="U170">
        <v>2</v>
      </c>
      <c r="V170">
        <v>2</v>
      </c>
    </row>
    <row r="171" spans="1:22">
      <c r="A171">
        <v>167</v>
      </c>
      <c r="B171" s="4">
        <v>46295.537499999999</v>
      </c>
      <c r="C171" s="5">
        <v>46295</v>
      </c>
      <c r="D171" s="6">
        <v>2.5376157407407409</v>
      </c>
      <c r="E171" s="5">
        <v>46295</v>
      </c>
      <c r="F171" t="s">
        <v>24</v>
      </c>
      <c r="G171" t="s">
        <v>25</v>
      </c>
      <c r="H171" t="s">
        <v>26</v>
      </c>
      <c r="I171" t="s">
        <v>27</v>
      </c>
      <c r="J171" t="s">
        <v>27</v>
      </c>
      <c r="K171" t="s">
        <v>238</v>
      </c>
      <c r="L171" s="2" t="s">
        <v>113</v>
      </c>
      <c r="M171" s="8" t="s">
        <v>114</v>
      </c>
      <c r="N171" s="7">
        <v>1.08</v>
      </c>
      <c r="O171" s="2">
        <v>2</v>
      </c>
      <c r="P171" s="7">
        <v>2.16</v>
      </c>
      <c r="Q171" s="7">
        <v>0</v>
      </c>
      <c r="R171" s="7">
        <v>0.34</v>
      </c>
      <c r="S171" s="7">
        <v>0.51</v>
      </c>
      <c r="T171" s="7">
        <v>2.5</v>
      </c>
      <c r="U171">
        <v>2</v>
      </c>
      <c r="V171">
        <v>2</v>
      </c>
    </row>
    <row r="172" spans="1:22">
      <c r="A172">
        <v>168</v>
      </c>
      <c r="B172" s="4">
        <v>46295.538506944446</v>
      </c>
      <c r="C172" s="5">
        <v>46295</v>
      </c>
      <c r="D172" s="6">
        <v>2.5384953703703705</v>
      </c>
      <c r="E172" s="5">
        <v>46295</v>
      </c>
      <c r="F172" t="s">
        <v>24</v>
      </c>
      <c r="G172" t="s">
        <v>25</v>
      </c>
      <c r="H172" t="s">
        <v>26</v>
      </c>
      <c r="I172" t="s">
        <v>27</v>
      </c>
      <c r="J172" t="s">
        <v>27</v>
      </c>
      <c r="K172" t="s">
        <v>239</v>
      </c>
      <c r="L172" s="2" t="s">
        <v>229</v>
      </c>
      <c r="M172" s="8" t="s">
        <v>230</v>
      </c>
      <c r="N172" s="7">
        <v>0.81</v>
      </c>
      <c r="O172" s="2">
        <v>2</v>
      </c>
      <c r="P172" s="7">
        <v>1.62</v>
      </c>
      <c r="Q172" s="7">
        <v>0</v>
      </c>
      <c r="R172" s="7">
        <v>0.25</v>
      </c>
      <c r="S172" s="7">
        <v>1.57</v>
      </c>
      <c r="T172" s="7">
        <v>1.87</v>
      </c>
      <c r="U172">
        <v>2</v>
      </c>
      <c r="V172">
        <v>2</v>
      </c>
    </row>
    <row r="173" spans="1:22">
      <c r="A173">
        <v>169</v>
      </c>
      <c r="B173" s="4">
        <v>46295.538506944446</v>
      </c>
      <c r="C173" s="5">
        <v>46295</v>
      </c>
      <c r="D173" s="6">
        <v>2.5386226851851852</v>
      </c>
      <c r="E173" s="5">
        <v>46295</v>
      </c>
      <c r="F173" t="s">
        <v>24</v>
      </c>
      <c r="G173" t="s">
        <v>25</v>
      </c>
      <c r="H173" t="s">
        <v>26</v>
      </c>
      <c r="I173" t="s">
        <v>27</v>
      </c>
      <c r="J173" t="s">
        <v>27</v>
      </c>
      <c r="K173" t="s">
        <v>239</v>
      </c>
      <c r="L173" s="2" t="s">
        <v>38</v>
      </c>
      <c r="M173" s="8" t="s">
        <v>39</v>
      </c>
      <c r="N173" s="7">
        <v>0.03</v>
      </c>
      <c r="O173" s="2">
        <v>5</v>
      </c>
      <c r="P173" s="7">
        <v>0.15</v>
      </c>
      <c r="Q173" s="7">
        <v>0</v>
      </c>
      <c r="R173" s="7">
        <v>0.02</v>
      </c>
      <c r="S173" s="7">
        <v>0.05</v>
      </c>
      <c r="T173" s="7">
        <v>0.17</v>
      </c>
      <c r="U173">
        <v>2</v>
      </c>
      <c r="V173">
        <v>2</v>
      </c>
    </row>
    <row r="174" spans="1:22">
      <c r="A174">
        <v>170</v>
      </c>
      <c r="B174" s="4">
        <v>46295.554884259262</v>
      </c>
      <c r="C174" s="5">
        <v>46295</v>
      </c>
      <c r="D174" s="6">
        <v>2.5548842592592593</v>
      </c>
      <c r="E174" s="5">
        <v>46295</v>
      </c>
      <c r="F174" t="s">
        <v>24</v>
      </c>
      <c r="G174" t="s">
        <v>25</v>
      </c>
      <c r="H174" t="s">
        <v>26</v>
      </c>
      <c r="I174" t="s">
        <v>27</v>
      </c>
      <c r="J174" t="s">
        <v>27</v>
      </c>
      <c r="K174" t="s">
        <v>240</v>
      </c>
      <c r="L174" s="2" t="s">
        <v>215</v>
      </c>
      <c r="M174" s="8" t="s">
        <v>216</v>
      </c>
      <c r="N174" s="7">
        <v>0.81</v>
      </c>
      <c r="O174" s="2">
        <v>1</v>
      </c>
      <c r="P174" s="7">
        <v>0.81</v>
      </c>
      <c r="Q174" s="7">
        <v>0</v>
      </c>
      <c r="R174" s="7">
        <v>0.13</v>
      </c>
      <c r="S174" s="7">
        <v>0.78</v>
      </c>
      <c r="T174" s="7">
        <v>0.94</v>
      </c>
      <c r="U174">
        <v>2</v>
      </c>
      <c r="V174">
        <v>2</v>
      </c>
    </row>
    <row r="175" spans="1:22">
      <c r="A175">
        <v>171</v>
      </c>
      <c r="B175" s="4">
        <v>46295.555752314816</v>
      </c>
      <c r="C175" s="5">
        <v>46295</v>
      </c>
      <c r="D175" s="6">
        <v>2.5557523148148147</v>
      </c>
      <c r="E175" s="5">
        <v>46295</v>
      </c>
      <c r="F175" t="s">
        <v>24</v>
      </c>
      <c r="G175" t="s">
        <v>25</v>
      </c>
      <c r="H175" t="s">
        <v>26</v>
      </c>
      <c r="I175" t="s">
        <v>27</v>
      </c>
      <c r="J175" t="s">
        <v>27</v>
      </c>
      <c r="K175" t="s">
        <v>241</v>
      </c>
      <c r="L175" s="2" t="s">
        <v>81</v>
      </c>
      <c r="M175" s="8" t="s">
        <v>82</v>
      </c>
      <c r="N175" s="7">
        <v>1.08</v>
      </c>
      <c r="O175" s="2">
        <v>2</v>
      </c>
      <c r="P175" s="7">
        <v>2.16</v>
      </c>
      <c r="Q175" s="7">
        <v>0</v>
      </c>
      <c r="R175" s="7">
        <v>0.34</v>
      </c>
      <c r="S175" s="7">
        <v>0.51</v>
      </c>
      <c r="T175" s="7">
        <v>2.5</v>
      </c>
      <c r="U175">
        <v>2</v>
      </c>
      <c r="V175">
        <v>2</v>
      </c>
    </row>
    <row r="176" spans="1:22">
      <c r="A176">
        <v>172</v>
      </c>
      <c r="B176" s="4">
        <v>46295.555752314816</v>
      </c>
      <c r="C176" s="5">
        <v>46295</v>
      </c>
      <c r="D176" s="6">
        <v>2.5558912037037036</v>
      </c>
      <c r="E176" s="5">
        <v>46295</v>
      </c>
      <c r="F176" t="s">
        <v>24</v>
      </c>
      <c r="G176" t="s">
        <v>25</v>
      </c>
      <c r="H176" t="s">
        <v>26</v>
      </c>
      <c r="I176" t="s">
        <v>27</v>
      </c>
      <c r="J176" t="s">
        <v>27</v>
      </c>
      <c r="K176" t="s">
        <v>241</v>
      </c>
      <c r="L176" s="2" t="s">
        <v>88</v>
      </c>
      <c r="M176" s="8" t="s">
        <v>89</v>
      </c>
      <c r="N176" s="7">
        <v>0.81</v>
      </c>
      <c r="O176" s="2">
        <v>2</v>
      </c>
      <c r="P176" s="7">
        <v>1.62</v>
      </c>
      <c r="Q176" s="7">
        <v>0</v>
      </c>
      <c r="R176" s="7">
        <v>0.25</v>
      </c>
      <c r="S176" s="7">
        <v>1.57</v>
      </c>
      <c r="T176" s="7">
        <v>1.87</v>
      </c>
      <c r="U176">
        <v>2</v>
      </c>
      <c r="V176">
        <v>2</v>
      </c>
    </row>
    <row r="177" spans="1:22">
      <c r="A177">
        <v>173</v>
      </c>
      <c r="B177" s="4">
        <v>46295.56417824074</v>
      </c>
      <c r="C177" s="5">
        <v>46295</v>
      </c>
      <c r="D177" s="6">
        <v>2.5641782407407407</v>
      </c>
      <c r="E177" s="5">
        <v>46295</v>
      </c>
      <c r="F177" t="s">
        <v>24</v>
      </c>
      <c r="G177" t="s">
        <v>25</v>
      </c>
      <c r="H177" t="s">
        <v>26</v>
      </c>
      <c r="I177" t="s">
        <v>27</v>
      </c>
      <c r="J177" t="s">
        <v>27</v>
      </c>
      <c r="K177" t="s">
        <v>242</v>
      </c>
      <c r="L177" s="3" t="s">
        <v>231</v>
      </c>
      <c r="M177" s="8" t="s">
        <v>232</v>
      </c>
      <c r="N177" s="7">
        <v>0.55000000000000004</v>
      </c>
      <c r="O177" s="2">
        <v>1</v>
      </c>
      <c r="P177" s="7">
        <v>0.55000000000000004</v>
      </c>
      <c r="Q177" s="7">
        <v>0</v>
      </c>
      <c r="R177" s="7">
        <v>0.08</v>
      </c>
      <c r="S177" s="7">
        <v>0.54</v>
      </c>
      <c r="T177" s="7">
        <v>0.63</v>
      </c>
      <c r="U177">
        <v>2</v>
      </c>
      <c r="V177">
        <v>2</v>
      </c>
    </row>
    <row r="178" spans="1:22">
      <c r="A178">
        <v>174</v>
      </c>
      <c r="B178" s="4">
        <v>46295.567048611112</v>
      </c>
      <c r="C178" s="5">
        <v>46295</v>
      </c>
      <c r="D178" s="6">
        <v>2.5670486111111113</v>
      </c>
      <c r="E178" s="5">
        <v>46295</v>
      </c>
      <c r="F178" t="s">
        <v>24</v>
      </c>
      <c r="G178" t="s">
        <v>25</v>
      </c>
      <c r="H178" t="s">
        <v>26</v>
      </c>
      <c r="I178" t="s">
        <v>27</v>
      </c>
      <c r="J178" t="s">
        <v>27</v>
      </c>
      <c r="K178" t="s">
        <v>243</v>
      </c>
      <c r="L178" s="2" t="s">
        <v>84</v>
      </c>
      <c r="M178" s="8" t="s">
        <v>85</v>
      </c>
      <c r="N178" s="7">
        <v>1.35</v>
      </c>
      <c r="O178" s="2">
        <v>1</v>
      </c>
      <c r="P178" s="7">
        <v>1.35</v>
      </c>
      <c r="Q178" s="7">
        <v>0</v>
      </c>
      <c r="R178" s="7">
        <v>0.21</v>
      </c>
      <c r="S178" s="7">
        <v>1.3</v>
      </c>
      <c r="T178" s="7">
        <v>1.56</v>
      </c>
      <c r="U178">
        <v>2</v>
      </c>
      <c r="V178">
        <v>2</v>
      </c>
    </row>
    <row r="179" spans="1:22">
      <c r="A179">
        <v>175</v>
      </c>
      <c r="B179" s="4">
        <v>46295.567048611112</v>
      </c>
      <c r="C179" s="5">
        <v>46295</v>
      </c>
      <c r="D179" s="6">
        <v>2.5671643518518517</v>
      </c>
      <c r="E179" s="5">
        <v>46295</v>
      </c>
      <c r="F179" t="s">
        <v>24</v>
      </c>
      <c r="G179" t="s">
        <v>25</v>
      </c>
      <c r="H179" t="s">
        <v>26</v>
      </c>
      <c r="I179" t="s">
        <v>27</v>
      </c>
      <c r="J179" t="s">
        <v>27</v>
      </c>
      <c r="K179" t="s">
        <v>243</v>
      </c>
      <c r="L179" s="2" t="s">
        <v>59</v>
      </c>
      <c r="M179" s="8" t="s">
        <v>60</v>
      </c>
      <c r="N179" s="7">
        <v>0.31</v>
      </c>
      <c r="O179" s="2">
        <v>3</v>
      </c>
      <c r="P179" s="7">
        <v>0.93</v>
      </c>
      <c r="Q179" s="7">
        <v>0</v>
      </c>
      <c r="R179" s="7">
        <v>0</v>
      </c>
      <c r="S179" s="7">
        <v>0.9</v>
      </c>
      <c r="T179" s="7">
        <v>0.93</v>
      </c>
      <c r="U179">
        <v>2</v>
      </c>
      <c r="V179">
        <v>2</v>
      </c>
    </row>
    <row r="180" spans="1:22">
      <c r="A180">
        <v>176</v>
      </c>
      <c r="B180" s="4">
        <v>46295.568865740737</v>
      </c>
      <c r="C180" s="5">
        <v>46295</v>
      </c>
      <c r="D180" s="6">
        <v>2.5688541666666667</v>
      </c>
      <c r="E180" s="5">
        <v>46295</v>
      </c>
      <c r="F180" t="s">
        <v>24</v>
      </c>
      <c r="G180" t="s">
        <v>25</v>
      </c>
      <c r="H180" t="s">
        <v>26</v>
      </c>
      <c r="I180" t="s">
        <v>27</v>
      </c>
      <c r="J180" t="s">
        <v>27</v>
      </c>
      <c r="K180" t="s">
        <v>244</v>
      </c>
      <c r="L180" s="2" t="s">
        <v>215</v>
      </c>
      <c r="M180" s="8" t="s">
        <v>216</v>
      </c>
      <c r="N180" s="7">
        <v>0.81</v>
      </c>
      <c r="O180" s="2">
        <v>1</v>
      </c>
      <c r="P180" s="7">
        <v>0.81</v>
      </c>
      <c r="Q180" s="7">
        <v>0</v>
      </c>
      <c r="R180" s="7">
        <v>0.13</v>
      </c>
      <c r="S180" s="7">
        <v>0.78</v>
      </c>
      <c r="T180" s="7">
        <v>0.94</v>
      </c>
      <c r="U180">
        <v>2</v>
      </c>
      <c r="V180">
        <v>2</v>
      </c>
    </row>
    <row r="181" spans="1:22">
      <c r="A181">
        <v>177</v>
      </c>
      <c r="B181" s="4">
        <v>46295.576805555553</v>
      </c>
      <c r="C181" s="5">
        <v>46295</v>
      </c>
      <c r="D181" s="6">
        <v>2.5768055555555556</v>
      </c>
      <c r="E181" s="5">
        <v>46295</v>
      </c>
      <c r="F181" t="s">
        <v>24</v>
      </c>
      <c r="G181" t="s">
        <v>25</v>
      </c>
      <c r="H181" t="s">
        <v>26</v>
      </c>
      <c r="I181" t="s">
        <v>27</v>
      </c>
      <c r="J181" t="s">
        <v>27</v>
      </c>
      <c r="K181" t="s">
        <v>245</v>
      </c>
      <c r="L181" s="2" t="s">
        <v>59</v>
      </c>
      <c r="M181" s="8" t="s">
        <v>60</v>
      </c>
      <c r="N181" s="7">
        <v>0.31</v>
      </c>
      <c r="O181" s="2">
        <v>1</v>
      </c>
      <c r="P181" s="7">
        <v>0.31</v>
      </c>
      <c r="Q181" s="7">
        <v>0</v>
      </c>
      <c r="R181" s="7">
        <v>0</v>
      </c>
      <c r="S181" s="7">
        <v>0.3</v>
      </c>
      <c r="T181" s="7">
        <v>0.31</v>
      </c>
      <c r="U181">
        <v>2</v>
      </c>
      <c r="V181">
        <v>2</v>
      </c>
    </row>
    <row r="182" spans="1:22">
      <c r="A182">
        <v>178</v>
      </c>
      <c r="B182" s="4">
        <v>46295.581342592595</v>
      </c>
      <c r="C182" s="5">
        <v>46295</v>
      </c>
      <c r="D182" s="6">
        <v>2.5813425925925926</v>
      </c>
      <c r="E182" s="5">
        <v>46295</v>
      </c>
      <c r="F182" t="s">
        <v>24</v>
      </c>
      <c r="G182" t="s">
        <v>25</v>
      </c>
      <c r="H182" t="s">
        <v>26</v>
      </c>
      <c r="I182" t="s">
        <v>27</v>
      </c>
      <c r="J182" t="s">
        <v>27</v>
      </c>
      <c r="K182" t="s">
        <v>246</v>
      </c>
      <c r="L182" s="2" t="s">
        <v>229</v>
      </c>
      <c r="M182" s="8" t="s">
        <v>230</v>
      </c>
      <c r="N182" s="7">
        <v>0.81</v>
      </c>
      <c r="O182" s="2">
        <v>1</v>
      </c>
      <c r="P182" s="7">
        <v>0.81</v>
      </c>
      <c r="Q182" s="7">
        <v>0</v>
      </c>
      <c r="R182" s="7">
        <v>0.13</v>
      </c>
      <c r="S182" s="7">
        <v>0.79</v>
      </c>
      <c r="T182" s="7">
        <v>0.94</v>
      </c>
      <c r="U182">
        <v>2</v>
      </c>
      <c r="V182">
        <v>2</v>
      </c>
    </row>
    <row r="183" spans="1:22">
      <c r="A183">
        <v>179</v>
      </c>
      <c r="B183" s="4">
        <v>46295.581342592595</v>
      </c>
      <c r="C183" s="5">
        <v>46295</v>
      </c>
      <c r="D183" s="6">
        <v>2.581400462962963</v>
      </c>
      <c r="E183" s="5">
        <v>46295</v>
      </c>
      <c r="F183" t="s">
        <v>24</v>
      </c>
      <c r="G183" t="s">
        <v>25</v>
      </c>
      <c r="H183" t="s">
        <v>26</v>
      </c>
      <c r="I183" t="s">
        <v>27</v>
      </c>
      <c r="J183" t="s">
        <v>27</v>
      </c>
      <c r="K183" t="s">
        <v>246</v>
      </c>
      <c r="L183" s="2" t="s">
        <v>215</v>
      </c>
      <c r="M183" s="8" t="s">
        <v>216</v>
      </c>
      <c r="N183" s="7">
        <v>0.81</v>
      </c>
      <c r="O183" s="2">
        <v>2</v>
      </c>
      <c r="P183" s="7">
        <v>1.62</v>
      </c>
      <c r="Q183" s="7">
        <v>0</v>
      </c>
      <c r="R183" s="7">
        <v>0.25</v>
      </c>
      <c r="S183" s="7">
        <v>1.56</v>
      </c>
      <c r="T183" s="7">
        <v>1.87</v>
      </c>
      <c r="U183">
        <v>2</v>
      </c>
      <c r="V183">
        <v>2</v>
      </c>
    </row>
    <row r="184" spans="1:22">
      <c r="A184">
        <v>180</v>
      </c>
      <c r="B184" s="4">
        <v>46295.582997685182</v>
      </c>
      <c r="C184" s="5">
        <v>46295</v>
      </c>
      <c r="D184" s="6">
        <v>2.582986111111111</v>
      </c>
      <c r="E184" s="5">
        <v>46295</v>
      </c>
      <c r="F184" t="s">
        <v>24</v>
      </c>
      <c r="G184" t="s">
        <v>25</v>
      </c>
      <c r="H184" t="s">
        <v>26</v>
      </c>
      <c r="I184" t="s">
        <v>27</v>
      </c>
      <c r="J184" t="s">
        <v>27</v>
      </c>
      <c r="K184" t="s">
        <v>247</v>
      </c>
      <c r="L184" s="3" t="s">
        <v>231</v>
      </c>
      <c r="M184" s="8" t="s">
        <v>232</v>
      </c>
      <c r="N184" s="7">
        <v>0.55000000000000004</v>
      </c>
      <c r="O184" s="2">
        <v>2</v>
      </c>
      <c r="P184" s="7">
        <v>1.1000000000000001</v>
      </c>
      <c r="Q184" s="7">
        <v>0</v>
      </c>
      <c r="R184" s="7">
        <v>0.17</v>
      </c>
      <c r="S184" s="7">
        <v>1.08</v>
      </c>
      <c r="T184" s="7">
        <v>1.27</v>
      </c>
      <c r="U184">
        <v>2</v>
      </c>
      <c r="V184">
        <v>2</v>
      </c>
    </row>
    <row r="185" spans="1:22">
      <c r="A185">
        <v>181</v>
      </c>
      <c r="B185" s="4">
        <v>46295.583865740744</v>
      </c>
      <c r="C185" s="5">
        <v>46295</v>
      </c>
      <c r="D185" s="6">
        <v>2.5838657407407406</v>
      </c>
      <c r="E185" s="5">
        <v>46295</v>
      </c>
      <c r="F185" t="s">
        <v>24</v>
      </c>
      <c r="G185" t="s">
        <v>25</v>
      </c>
      <c r="H185" t="s">
        <v>26</v>
      </c>
      <c r="I185" t="s">
        <v>27</v>
      </c>
      <c r="J185" t="s">
        <v>27</v>
      </c>
      <c r="K185" t="s">
        <v>248</v>
      </c>
      <c r="L185" s="2" t="s">
        <v>146</v>
      </c>
      <c r="M185" s="8" t="s">
        <v>147</v>
      </c>
      <c r="N185" s="7">
        <v>2.16</v>
      </c>
      <c r="O185" s="2">
        <v>1</v>
      </c>
      <c r="P185" s="7">
        <v>2.16</v>
      </c>
      <c r="Q185" s="7">
        <v>0</v>
      </c>
      <c r="R185" s="7">
        <v>0.34</v>
      </c>
      <c r="S185" s="7">
        <v>2.09</v>
      </c>
      <c r="T185" s="7">
        <v>2.5</v>
      </c>
      <c r="U185">
        <v>2</v>
      </c>
      <c r="V185">
        <v>2</v>
      </c>
    </row>
    <row r="186" spans="1:22">
      <c r="A186">
        <v>182</v>
      </c>
      <c r="B186" s="4">
        <v>46295.602743055555</v>
      </c>
      <c r="C186" s="5">
        <v>46295</v>
      </c>
      <c r="D186" s="6">
        <v>2.6027430555555555</v>
      </c>
      <c r="E186" s="5">
        <v>46295</v>
      </c>
      <c r="F186" t="s">
        <v>24</v>
      </c>
      <c r="G186" t="s">
        <v>25</v>
      </c>
      <c r="H186" t="s">
        <v>26</v>
      </c>
      <c r="I186" t="s">
        <v>27</v>
      </c>
      <c r="J186" t="s">
        <v>27</v>
      </c>
      <c r="K186" t="s">
        <v>249</v>
      </c>
      <c r="L186" s="2" t="s">
        <v>113</v>
      </c>
      <c r="M186" s="8" t="s">
        <v>114</v>
      </c>
      <c r="N186" s="7">
        <v>1.08</v>
      </c>
      <c r="O186" s="2">
        <v>2</v>
      </c>
      <c r="P186" s="7">
        <v>2.16</v>
      </c>
      <c r="Q186" s="7">
        <v>0</v>
      </c>
      <c r="R186" s="7">
        <v>0.34</v>
      </c>
      <c r="S186" s="7">
        <v>0.51</v>
      </c>
      <c r="T186" s="7">
        <v>2.5</v>
      </c>
      <c r="U186">
        <v>2</v>
      </c>
      <c r="V186">
        <v>2</v>
      </c>
    </row>
    <row r="187" spans="1:22">
      <c r="A187">
        <v>183</v>
      </c>
      <c r="B187" s="4">
        <v>46295.602743055555</v>
      </c>
      <c r="C187" s="5">
        <v>46295</v>
      </c>
      <c r="D187" s="6">
        <v>2.6035995370370371</v>
      </c>
      <c r="E187" s="5">
        <v>46295</v>
      </c>
      <c r="F187" t="s">
        <v>24</v>
      </c>
      <c r="G187" t="s">
        <v>25</v>
      </c>
      <c r="H187" t="s">
        <v>26</v>
      </c>
      <c r="I187" t="s">
        <v>27</v>
      </c>
      <c r="J187" t="s">
        <v>27</v>
      </c>
      <c r="K187" t="s">
        <v>249</v>
      </c>
      <c r="L187" s="2" t="s">
        <v>250</v>
      </c>
      <c r="M187" s="8" t="s">
        <v>251</v>
      </c>
      <c r="N187" s="7">
        <v>1.35</v>
      </c>
      <c r="O187" s="2">
        <v>1</v>
      </c>
      <c r="P187" s="7">
        <v>1.35</v>
      </c>
      <c r="Q187" s="7">
        <v>0</v>
      </c>
      <c r="R187" s="7">
        <v>0.21</v>
      </c>
      <c r="S187" s="7">
        <v>1.3</v>
      </c>
      <c r="T187" s="7">
        <v>1.56</v>
      </c>
      <c r="U187">
        <v>2</v>
      </c>
      <c r="V187">
        <v>2</v>
      </c>
    </row>
    <row r="188" spans="1:22">
      <c r="A188">
        <v>184</v>
      </c>
      <c r="B188" s="4">
        <v>46295.607430555552</v>
      </c>
      <c r="C188" s="5">
        <v>46295</v>
      </c>
      <c r="D188" s="6">
        <v>2.6074305555555557</v>
      </c>
      <c r="E188" s="5">
        <v>46295</v>
      </c>
      <c r="F188" t="s">
        <v>24</v>
      </c>
      <c r="G188" t="s">
        <v>25</v>
      </c>
      <c r="H188" t="s">
        <v>26</v>
      </c>
      <c r="I188" t="s">
        <v>27</v>
      </c>
      <c r="J188" t="s">
        <v>27</v>
      </c>
      <c r="K188" t="s">
        <v>252</v>
      </c>
      <c r="L188" s="2" t="s">
        <v>176</v>
      </c>
      <c r="M188" s="8" t="s">
        <v>177</v>
      </c>
      <c r="N188" s="7">
        <v>2.16</v>
      </c>
      <c r="O188" s="2">
        <v>1</v>
      </c>
      <c r="P188" s="7">
        <v>2.16</v>
      </c>
      <c r="Q188" s="7">
        <v>0</v>
      </c>
      <c r="R188" s="7">
        <v>0.34</v>
      </c>
      <c r="S188" s="7">
        <v>2.1</v>
      </c>
      <c r="T188" s="7">
        <v>2.5</v>
      </c>
      <c r="U188">
        <v>2</v>
      </c>
      <c r="V188">
        <v>2</v>
      </c>
    </row>
    <row r="189" spans="1:22">
      <c r="A189">
        <v>185</v>
      </c>
      <c r="B189" s="4">
        <v>46295.607430555552</v>
      </c>
      <c r="C189" s="5">
        <v>46295</v>
      </c>
      <c r="D189" s="6">
        <v>2.6075115740740742</v>
      </c>
      <c r="E189" s="5">
        <v>46295</v>
      </c>
      <c r="F189" t="s">
        <v>24</v>
      </c>
      <c r="G189" t="s">
        <v>25</v>
      </c>
      <c r="H189" t="s">
        <v>26</v>
      </c>
      <c r="I189" t="s">
        <v>27</v>
      </c>
      <c r="J189" t="s">
        <v>27</v>
      </c>
      <c r="K189" t="s">
        <v>252</v>
      </c>
      <c r="L189" s="2" t="s">
        <v>63</v>
      </c>
      <c r="M189" s="8" t="s">
        <v>64</v>
      </c>
      <c r="N189" s="7">
        <v>1.9</v>
      </c>
      <c r="O189" s="2">
        <v>1</v>
      </c>
      <c r="P189" s="7">
        <v>1.9</v>
      </c>
      <c r="Q189" s="7">
        <v>0</v>
      </c>
      <c r="R189" s="7">
        <v>0.28999999999999998</v>
      </c>
      <c r="S189" s="7">
        <v>1.83</v>
      </c>
      <c r="T189" s="7">
        <v>2.19</v>
      </c>
      <c r="U189">
        <v>2</v>
      </c>
      <c r="V189">
        <v>2</v>
      </c>
    </row>
    <row r="190" spans="1:22">
      <c r="A190">
        <v>186</v>
      </c>
      <c r="B190" s="4">
        <v>46295.611875000002</v>
      </c>
      <c r="C190" s="5">
        <v>46295</v>
      </c>
      <c r="D190" s="6">
        <v>2.6118634259259261</v>
      </c>
      <c r="E190" s="5">
        <v>46295</v>
      </c>
      <c r="F190" t="s">
        <v>24</v>
      </c>
      <c r="G190" t="s">
        <v>25</v>
      </c>
      <c r="H190" t="s">
        <v>26</v>
      </c>
      <c r="I190" t="s">
        <v>27</v>
      </c>
      <c r="J190" t="s">
        <v>27</v>
      </c>
      <c r="K190" t="s">
        <v>253</v>
      </c>
      <c r="L190" s="2" t="s">
        <v>100</v>
      </c>
      <c r="M190" s="8" t="s">
        <v>101</v>
      </c>
      <c r="N190" s="7">
        <v>0.81</v>
      </c>
      <c r="O190" s="2">
        <v>1</v>
      </c>
      <c r="P190" s="7">
        <v>0.81</v>
      </c>
      <c r="Q190" s="7">
        <v>0</v>
      </c>
      <c r="R190" s="7">
        <v>0.13</v>
      </c>
      <c r="S190" s="7">
        <v>0.39</v>
      </c>
      <c r="T190" s="7">
        <v>0.94</v>
      </c>
      <c r="U190">
        <v>2</v>
      </c>
      <c r="V190">
        <v>2</v>
      </c>
    </row>
    <row r="191" spans="1:22">
      <c r="A191">
        <v>187</v>
      </c>
      <c r="B191" s="4">
        <v>46295.613796296297</v>
      </c>
      <c r="C191" s="5">
        <v>46295</v>
      </c>
      <c r="D191" s="6">
        <v>2.6137962962962962</v>
      </c>
      <c r="E191" s="5">
        <v>46295</v>
      </c>
      <c r="F191" t="s">
        <v>24</v>
      </c>
      <c r="G191" t="s">
        <v>25</v>
      </c>
      <c r="H191" t="s">
        <v>26</v>
      </c>
      <c r="I191" t="s">
        <v>27</v>
      </c>
      <c r="J191" t="s">
        <v>27</v>
      </c>
      <c r="K191" t="s">
        <v>254</v>
      </c>
      <c r="L191" s="2" t="s">
        <v>88</v>
      </c>
      <c r="M191" s="8" t="s">
        <v>89</v>
      </c>
      <c r="N191" s="7">
        <v>0.81</v>
      </c>
      <c r="O191" s="2">
        <v>1</v>
      </c>
      <c r="P191" s="7">
        <v>0.81</v>
      </c>
      <c r="Q191" s="7">
        <v>0</v>
      </c>
      <c r="R191" s="7">
        <v>0.13</v>
      </c>
      <c r="S191" s="7">
        <v>0.79</v>
      </c>
      <c r="T191" s="7">
        <v>0.94</v>
      </c>
      <c r="U191">
        <v>2</v>
      </c>
      <c r="V191">
        <v>2</v>
      </c>
    </row>
    <row r="192" spans="1:22">
      <c r="A192">
        <v>188</v>
      </c>
      <c r="B192" s="4">
        <v>46295.638460648152</v>
      </c>
      <c r="C192" s="5">
        <v>46295</v>
      </c>
      <c r="D192" s="6">
        <v>2.6384606481481483</v>
      </c>
      <c r="E192" s="5">
        <v>46295</v>
      </c>
      <c r="F192" t="s">
        <v>24</v>
      </c>
      <c r="G192" t="s">
        <v>25</v>
      </c>
      <c r="H192" t="s">
        <v>26</v>
      </c>
      <c r="I192" t="s">
        <v>27</v>
      </c>
      <c r="J192" t="s">
        <v>27</v>
      </c>
      <c r="K192" t="s">
        <v>255</v>
      </c>
      <c r="L192" s="2" t="s">
        <v>143</v>
      </c>
      <c r="M192" s="8" t="s">
        <v>144</v>
      </c>
      <c r="N192" s="7">
        <v>1.25</v>
      </c>
      <c r="O192" s="2">
        <v>1</v>
      </c>
      <c r="P192" s="7">
        <v>1.25</v>
      </c>
      <c r="Q192" s="7">
        <v>0</v>
      </c>
      <c r="R192" s="7">
        <v>0</v>
      </c>
      <c r="S192" s="7">
        <v>1.21</v>
      </c>
      <c r="T192" s="7">
        <v>1.25</v>
      </c>
      <c r="U192">
        <v>2</v>
      </c>
      <c r="V192">
        <v>2</v>
      </c>
    </row>
    <row r="193" spans="1:22">
      <c r="A193">
        <v>189</v>
      </c>
      <c r="B193" s="4">
        <v>46295.638460648152</v>
      </c>
      <c r="C193" s="5">
        <v>46295</v>
      </c>
      <c r="D193" s="6">
        <v>2.6386805555555557</v>
      </c>
      <c r="E193" s="5">
        <v>46295</v>
      </c>
      <c r="F193" t="s">
        <v>24</v>
      </c>
      <c r="G193" t="s">
        <v>25</v>
      </c>
      <c r="H193" t="s">
        <v>26</v>
      </c>
      <c r="I193" t="s">
        <v>27</v>
      </c>
      <c r="J193" t="s">
        <v>27</v>
      </c>
      <c r="K193" t="s">
        <v>255</v>
      </c>
      <c r="L193" s="2" t="s">
        <v>98</v>
      </c>
      <c r="M193" s="8" t="s">
        <v>99</v>
      </c>
      <c r="N193" s="7">
        <v>0.81</v>
      </c>
      <c r="O193" s="2">
        <v>2</v>
      </c>
      <c r="P193" s="7">
        <v>1.62</v>
      </c>
      <c r="Q193" s="7">
        <v>0</v>
      </c>
      <c r="R193" s="7">
        <v>0.25</v>
      </c>
      <c r="S193" s="7">
        <v>1.57</v>
      </c>
      <c r="T193" s="7">
        <v>1.87</v>
      </c>
      <c r="U193">
        <v>2</v>
      </c>
      <c r="V193">
        <v>2</v>
      </c>
    </row>
    <row r="194" spans="1:22">
      <c r="A194">
        <v>190</v>
      </c>
      <c r="B194" s="4">
        <v>46295.639513888891</v>
      </c>
      <c r="C194" s="5">
        <v>46295</v>
      </c>
      <c r="D194" s="6">
        <v>2.6395138888888887</v>
      </c>
      <c r="E194" s="5">
        <v>46295</v>
      </c>
      <c r="F194" t="s">
        <v>24</v>
      </c>
      <c r="G194" t="s">
        <v>25</v>
      </c>
      <c r="H194" t="s">
        <v>26</v>
      </c>
      <c r="I194" t="s">
        <v>27</v>
      </c>
      <c r="J194" t="s">
        <v>27</v>
      </c>
      <c r="K194" t="s">
        <v>256</v>
      </c>
      <c r="L194" s="2" t="s">
        <v>98</v>
      </c>
      <c r="M194" s="8" t="s">
        <v>99</v>
      </c>
      <c r="N194" s="7">
        <v>0.81</v>
      </c>
      <c r="O194" s="2">
        <v>1</v>
      </c>
      <c r="P194" s="7">
        <v>0.81</v>
      </c>
      <c r="Q194" s="7">
        <v>0</v>
      </c>
      <c r="R194" s="7">
        <v>0.13</v>
      </c>
      <c r="S194" s="7">
        <v>0.79</v>
      </c>
      <c r="T194" s="7">
        <v>0.94</v>
      </c>
      <c r="U194">
        <v>2</v>
      </c>
      <c r="V194">
        <v>2</v>
      </c>
    </row>
    <row r="195" spans="1:22">
      <c r="A195">
        <v>191</v>
      </c>
      <c r="B195" s="4">
        <v>46295.640879629631</v>
      </c>
      <c r="C195" s="5">
        <v>46295</v>
      </c>
      <c r="D195" s="6">
        <v>2.6408680555555555</v>
      </c>
      <c r="E195" s="5">
        <v>46295</v>
      </c>
      <c r="F195" t="s">
        <v>24</v>
      </c>
      <c r="G195" t="s">
        <v>25</v>
      </c>
      <c r="H195" t="s">
        <v>26</v>
      </c>
      <c r="I195" t="s">
        <v>27</v>
      </c>
      <c r="J195" t="s">
        <v>27</v>
      </c>
      <c r="K195" t="s">
        <v>257</v>
      </c>
      <c r="L195" s="2" t="s">
        <v>50</v>
      </c>
      <c r="M195" s="8" t="s">
        <v>51</v>
      </c>
      <c r="N195" s="7">
        <v>0.43</v>
      </c>
      <c r="O195" s="2">
        <v>1</v>
      </c>
      <c r="P195" s="7">
        <v>0.43</v>
      </c>
      <c r="Q195" s="7">
        <v>0</v>
      </c>
      <c r="R195" s="7">
        <v>7.0000000000000007E-2</v>
      </c>
      <c r="S195" s="7">
        <v>0.41</v>
      </c>
      <c r="T195" s="7">
        <v>0.5</v>
      </c>
      <c r="U195">
        <v>2</v>
      </c>
      <c r="V195">
        <v>2</v>
      </c>
    </row>
    <row r="196" spans="1:22">
      <c r="A196">
        <v>192</v>
      </c>
      <c r="B196" s="4">
        <v>46295.644456018519</v>
      </c>
      <c r="C196" s="5">
        <v>46295</v>
      </c>
      <c r="D196" s="6">
        <v>2.6444560185185186</v>
      </c>
      <c r="E196" s="5">
        <v>46295</v>
      </c>
      <c r="F196" t="s">
        <v>24</v>
      </c>
      <c r="G196" t="s">
        <v>25</v>
      </c>
      <c r="H196" t="s">
        <v>26</v>
      </c>
      <c r="I196" t="s">
        <v>27</v>
      </c>
      <c r="J196" t="s">
        <v>27</v>
      </c>
      <c r="K196" t="s">
        <v>258</v>
      </c>
      <c r="L196" s="2" t="s">
        <v>259</v>
      </c>
      <c r="M196" s="8" t="s">
        <v>260</v>
      </c>
      <c r="N196" s="7">
        <v>1.08</v>
      </c>
      <c r="O196" s="2">
        <v>2</v>
      </c>
      <c r="P196" s="7">
        <v>2.16</v>
      </c>
      <c r="Q196" s="7">
        <v>0</v>
      </c>
      <c r="R196" s="7">
        <v>0.34</v>
      </c>
      <c r="S196" s="7">
        <v>1.1200000000000001</v>
      </c>
      <c r="T196" s="7">
        <v>2.5</v>
      </c>
      <c r="U196">
        <v>2</v>
      </c>
      <c r="V196">
        <v>2</v>
      </c>
    </row>
    <row r="197" spans="1:22">
      <c r="A197">
        <v>193</v>
      </c>
      <c r="B197" s="4">
        <v>46295.656990740739</v>
      </c>
      <c r="C197" s="5">
        <v>46295</v>
      </c>
      <c r="D197" s="6">
        <v>2.6569791666666664</v>
      </c>
      <c r="E197" s="5">
        <v>46295</v>
      </c>
      <c r="F197" t="s">
        <v>24</v>
      </c>
      <c r="G197" t="s">
        <v>25</v>
      </c>
      <c r="H197" t="s">
        <v>26</v>
      </c>
      <c r="I197" t="s">
        <v>27</v>
      </c>
      <c r="J197" t="s">
        <v>27</v>
      </c>
      <c r="K197" t="s">
        <v>261</v>
      </c>
      <c r="L197" s="2" t="s">
        <v>229</v>
      </c>
      <c r="M197" s="8" t="s">
        <v>230</v>
      </c>
      <c r="N197" s="7">
        <v>0.81</v>
      </c>
      <c r="O197" s="2">
        <v>1</v>
      </c>
      <c r="P197" s="7">
        <v>0.81</v>
      </c>
      <c r="Q197" s="7">
        <v>0</v>
      </c>
      <c r="R197" s="7">
        <v>0.13</v>
      </c>
      <c r="S197" s="7">
        <v>0.79</v>
      </c>
      <c r="T197" s="7">
        <v>0.94</v>
      </c>
      <c r="U197">
        <v>2</v>
      </c>
      <c r="V197">
        <v>2</v>
      </c>
    </row>
    <row r="198" spans="1:22">
      <c r="A198">
        <v>194</v>
      </c>
      <c r="B198" s="4">
        <v>46295.666145833333</v>
      </c>
      <c r="C198" s="5">
        <v>46295</v>
      </c>
      <c r="D198" s="6">
        <v>2.6661342592592594</v>
      </c>
      <c r="E198" s="5">
        <v>46295</v>
      </c>
      <c r="F198" t="s">
        <v>24</v>
      </c>
      <c r="G198" t="s">
        <v>25</v>
      </c>
      <c r="H198" t="s">
        <v>26</v>
      </c>
      <c r="I198" t="s">
        <v>27</v>
      </c>
      <c r="J198" t="s">
        <v>27</v>
      </c>
      <c r="K198" t="s">
        <v>262</v>
      </c>
      <c r="L198" s="2" t="s">
        <v>224</v>
      </c>
      <c r="M198" s="8" t="s">
        <v>225</v>
      </c>
      <c r="N198" s="7">
        <v>0.81</v>
      </c>
      <c r="O198" s="2">
        <v>1</v>
      </c>
      <c r="P198" s="7">
        <v>0.81</v>
      </c>
      <c r="Q198" s="7">
        <v>0</v>
      </c>
      <c r="R198" s="7">
        <v>0.13</v>
      </c>
      <c r="S198" s="7">
        <v>0.79</v>
      </c>
      <c r="T198" s="7">
        <v>0.94</v>
      </c>
      <c r="U198">
        <v>2</v>
      </c>
      <c r="V198">
        <v>2</v>
      </c>
    </row>
    <row r="199" spans="1:22">
      <c r="A199">
        <v>195</v>
      </c>
      <c r="B199" s="4">
        <v>46295.668298611112</v>
      </c>
      <c r="C199" s="5">
        <v>46295</v>
      </c>
      <c r="D199" s="6">
        <v>2.6682986111111111</v>
      </c>
      <c r="E199" s="5">
        <v>46295</v>
      </c>
      <c r="F199" t="s">
        <v>24</v>
      </c>
      <c r="G199" t="s">
        <v>25</v>
      </c>
      <c r="H199" t="s">
        <v>26</v>
      </c>
      <c r="I199" t="s">
        <v>27</v>
      </c>
      <c r="J199" t="s">
        <v>27</v>
      </c>
      <c r="K199" t="s">
        <v>263</v>
      </c>
      <c r="L199" s="2" t="s">
        <v>109</v>
      </c>
      <c r="M199" s="8" t="s">
        <v>110</v>
      </c>
      <c r="N199" s="7">
        <v>1.08</v>
      </c>
      <c r="O199" s="2">
        <v>3</v>
      </c>
      <c r="P199" s="7">
        <v>3.24</v>
      </c>
      <c r="Q199" s="7">
        <v>0</v>
      </c>
      <c r="R199" s="7">
        <v>0.5</v>
      </c>
      <c r="S199" s="7">
        <v>0.77</v>
      </c>
      <c r="T199" s="7">
        <v>3.74</v>
      </c>
      <c r="U199">
        <v>2</v>
      </c>
      <c r="V199">
        <v>2</v>
      </c>
    </row>
    <row r="200" spans="1:22">
      <c r="A200">
        <v>196</v>
      </c>
      <c r="B200" s="4">
        <v>46295.668298611112</v>
      </c>
      <c r="C200" s="5">
        <v>46295</v>
      </c>
      <c r="D200" s="6">
        <v>2.6684375</v>
      </c>
      <c r="E200" s="5">
        <v>46295</v>
      </c>
      <c r="F200" t="s">
        <v>24</v>
      </c>
      <c r="G200" t="s">
        <v>25</v>
      </c>
      <c r="H200" t="s">
        <v>26</v>
      </c>
      <c r="I200" t="s">
        <v>27</v>
      </c>
      <c r="J200" t="s">
        <v>27</v>
      </c>
      <c r="K200" t="s">
        <v>263</v>
      </c>
      <c r="L200" s="2" t="s">
        <v>81</v>
      </c>
      <c r="M200" s="8" t="s">
        <v>82</v>
      </c>
      <c r="N200" s="7">
        <v>1.08</v>
      </c>
      <c r="O200" s="2">
        <v>1</v>
      </c>
      <c r="P200" s="7">
        <v>1.08</v>
      </c>
      <c r="Q200" s="7">
        <v>0</v>
      </c>
      <c r="R200" s="7">
        <v>0.17</v>
      </c>
      <c r="S200" s="7">
        <v>0.26</v>
      </c>
      <c r="T200" s="7">
        <v>1.25</v>
      </c>
      <c r="U200">
        <v>2</v>
      </c>
      <c r="V200">
        <v>2</v>
      </c>
    </row>
    <row r="201" spans="1:22">
      <c r="A201">
        <v>197</v>
      </c>
      <c r="B201" s="4">
        <v>46295.674930555557</v>
      </c>
      <c r="C201" s="5">
        <v>46295</v>
      </c>
      <c r="D201" s="6">
        <v>2.6749305555555556</v>
      </c>
      <c r="E201" s="5">
        <v>46295</v>
      </c>
      <c r="F201" t="s">
        <v>24</v>
      </c>
      <c r="G201" t="s">
        <v>25</v>
      </c>
      <c r="H201" t="s">
        <v>26</v>
      </c>
      <c r="I201" t="s">
        <v>27</v>
      </c>
      <c r="J201" t="s">
        <v>27</v>
      </c>
      <c r="K201" t="s">
        <v>264</v>
      </c>
      <c r="L201" s="2" t="s">
        <v>265</v>
      </c>
      <c r="M201" s="8" t="s">
        <v>266</v>
      </c>
      <c r="N201" s="7">
        <v>1.9</v>
      </c>
      <c r="O201" s="2">
        <v>1</v>
      </c>
      <c r="P201" s="7">
        <v>1.9</v>
      </c>
      <c r="Q201" s="7">
        <v>0</v>
      </c>
      <c r="R201" s="7">
        <v>0.28999999999999998</v>
      </c>
      <c r="S201" s="7">
        <v>0.56999999999999995</v>
      </c>
      <c r="T201" s="7">
        <v>2.19</v>
      </c>
      <c r="U201">
        <v>2</v>
      </c>
      <c r="V201">
        <v>2</v>
      </c>
    </row>
    <row r="202" spans="1:22">
      <c r="A202">
        <v>198</v>
      </c>
      <c r="B202" s="4">
        <v>46295.674930555557</v>
      </c>
      <c r="C202" s="5">
        <v>46295</v>
      </c>
      <c r="D202" s="6">
        <v>2.6749537037037037</v>
      </c>
      <c r="E202" s="5">
        <v>46295</v>
      </c>
      <c r="F202" t="s">
        <v>24</v>
      </c>
      <c r="G202" t="s">
        <v>25</v>
      </c>
      <c r="H202" t="s">
        <v>26</v>
      </c>
      <c r="I202" t="s">
        <v>27</v>
      </c>
      <c r="J202" t="s">
        <v>27</v>
      </c>
      <c r="K202" t="s">
        <v>264</v>
      </c>
      <c r="L202" s="2" t="s">
        <v>265</v>
      </c>
      <c r="M202" s="8" t="s">
        <v>266</v>
      </c>
      <c r="N202" s="7">
        <v>1.9</v>
      </c>
      <c r="O202" s="2">
        <v>1</v>
      </c>
      <c r="P202" s="7">
        <v>1.9</v>
      </c>
      <c r="Q202" s="7">
        <v>0</v>
      </c>
      <c r="R202" s="7">
        <v>0.28999999999999998</v>
      </c>
      <c r="S202" s="7">
        <v>0.56999999999999995</v>
      </c>
      <c r="T202" s="7">
        <v>2.19</v>
      </c>
      <c r="U202">
        <v>2</v>
      </c>
      <c r="V202">
        <v>2</v>
      </c>
    </row>
    <row r="203" spans="1:22">
      <c r="A203">
        <v>199</v>
      </c>
      <c r="B203" s="4">
        <v>46295.674930555557</v>
      </c>
      <c r="C203" s="5">
        <v>46295</v>
      </c>
      <c r="D203" s="6">
        <v>2.6749768518518517</v>
      </c>
      <c r="E203" s="5">
        <v>46295</v>
      </c>
      <c r="F203" t="s">
        <v>24</v>
      </c>
      <c r="G203" t="s">
        <v>25</v>
      </c>
      <c r="H203" t="s">
        <v>26</v>
      </c>
      <c r="I203" t="s">
        <v>27</v>
      </c>
      <c r="J203" t="s">
        <v>27</v>
      </c>
      <c r="K203" t="s">
        <v>264</v>
      </c>
      <c r="L203" s="2" t="s">
        <v>265</v>
      </c>
      <c r="M203" s="8" t="s">
        <v>266</v>
      </c>
      <c r="N203" s="7">
        <v>1.9</v>
      </c>
      <c r="O203" s="2">
        <v>1</v>
      </c>
      <c r="P203" s="7">
        <v>1.9</v>
      </c>
      <c r="Q203" s="7">
        <v>0</v>
      </c>
      <c r="R203" s="7">
        <v>0.28999999999999998</v>
      </c>
      <c r="S203" s="7">
        <v>0.56999999999999995</v>
      </c>
      <c r="T203" s="7">
        <v>2.19</v>
      </c>
      <c r="U203">
        <v>2</v>
      </c>
      <c r="V203">
        <v>2</v>
      </c>
    </row>
    <row r="204" spans="1:22">
      <c r="A204">
        <v>200</v>
      </c>
      <c r="B204" s="4">
        <v>46295.674930555557</v>
      </c>
      <c r="C204" s="5">
        <v>46295</v>
      </c>
      <c r="D204" s="6">
        <v>2.6750115740740741</v>
      </c>
      <c r="E204" s="5">
        <v>46295</v>
      </c>
      <c r="F204" t="s">
        <v>24</v>
      </c>
      <c r="G204" t="s">
        <v>25</v>
      </c>
      <c r="H204" t="s">
        <v>26</v>
      </c>
      <c r="I204" t="s">
        <v>27</v>
      </c>
      <c r="J204" t="s">
        <v>27</v>
      </c>
      <c r="K204" t="s">
        <v>264</v>
      </c>
      <c r="L204" s="2" t="s">
        <v>267</v>
      </c>
      <c r="M204" s="8" t="s">
        <v>268</v>
      </c>
      <c r="N204" s="7">
        <v>0.65</v>
      </c>
      <c r="O204" s="2">
        <v>1</v>
      </c>
      <c r="P204" s="7">
        <v>0.65</v>
      </c>
      <c r="Q204" s="7">
        <v>0</v>
      </c>
      <c r="R204" s="7">
        <v>0.1</v>
      </c>
      <c r="S204" s="7">
        <v>0.63</v>
      </c>
      <c r="T204" s="7">
        <v>0.75</v>
      </c>
      <c r="U204">
        <v>2</v>
      </c>
      <c r="V204">
        <v>2</v>
      </c>
    </row>
    <row r="205" spans="1:22">
      <c r="A205">
        <v>201</v>
      </c>
      <c r="B205" s="4">
        <v>46295.674930555557</v>
      </c>
      <c r="C205" s="5">
        <v>46295</v>
      </c>
      <c r="D205" s="6">
        <v>2.6750462962962964</v>
      </c>
      <c r="E205" s="5">
        <v>46295</v>
      </c>
      <c r="F205" t="s">
        <v>24</v>
      </c>
      <c r="G205" t="s">
        <v>25</v>
      </c>
      <c r="H205" t="s">
        <v>26</v>
      </c>
      <c r="I205" t="s">
        <v>27</v>
      </c>
      <c r="J205" t="s">
        <v>27</v>
      </c>
      <c r="K205" t="s">
        <v>264</v>
      </c>
      <c r="L205" s="2" t="s">
        <v>267</v>
      </c>
      <c r="M205" s="8" t="s">
        <v>268</v>
      </c>
      <c r="N205" s="7">
        <v>0.65</v>
      </c>
      <c r="O205" s="2">
        <v>1</v>
      </c>
      <c r="P205" s="7">
        <v>0.65</v>
      </c>
      <c r="Q205" s="7">
        <v>0</v>
      </c>
      <c r="R205" s="7">
        <v>0.1</v>
      </c>
      <c r="S205" s="7">
        <v>0.63</v>
      </c>
      <c r="T205" s="7">
        <v>0.75</v>
      </c>
      <c r="U205">
        <v>2</v>
      </c>
      <c r="V205">
        <v>2</v>
      </c>
    </row>
    <row r="206" spans="1:22">
      <c r="A206">
        <v>202</v>
      </c>
      <c r="B206" s="4">
        <v>46295.674930555557</v>
      </c>
      <c r="C206" s="5">
        <v>46295</v>
      </c>
      <c r="D206" s="6">
        <v>2.6750925925925926</v>
      </c>
      <c r="E206" s="5">
        <v>46295</v>
      </c>
      <c r="F206" t="s">
        <v>24</v>
      </c>
      <c r="G206" t="s">
        <v>25</v>
      </c>
      <c r="H206" t="s">
        <v>26</v>
      </c>
      <c r="I206" t="s">
        <v>27</v>
      </c>
      <c r="J206" t="s">
        <v>27</v>
      </c>
      <c r="K206" t="s">
        <v>264</v>
      </c>
      <c r="L206" s="2" t="s">
        <v>81</v>
      </c>
      <c r="M206" s="8" t="s">
        <v>82</v>
      </c>
      <c r="N206" s="7">
        <v>1.08</v>
      </c>
      <c r="O206" s="2">
        <v>1</v>
      </c>
      <c r="P206" s="7">
        <v>1.08</v>
      </c>
      <c r="Q206" s="7">
        <v>0</v>
      </c>
      <c r="R206" s="7">
        <v>0.17</v>
      </c>
      <c r="S206" s="7">
        <v>0.26</v>
      </c>
      <c r="T206" s="7">
        <v>1.25</v>
      </c>
      <c r="U206">
        <v>2</v>
      </c>
      <c r="V206">
        <v>2</v>
      </c>
    </row>
    <row r="207" spans="1:22">
      <c r="A207">
        <v>203</v>
      </c>
      <c r="B207" s="4">
        <v>46295.674930555557</v>
      </c>
      <c r="C207" s="5">
        <v>46295</v>
      </c>
      <c r="D207" s="6">
        <v>2.6751041666666668</v>
      </c>
      <c r="E207" s="5">
        <v>46295</v>
      </c>
      <c r="F207" t="s">
        <v>24</v>
      </c>
      <c r="G207" t="s">
        <v>25</v>
      </c>
      <c r="H207" t="s">
        <v>26</v>
      </c>
      <c r="I207" t="s">
        <v>27</v>
      </c>
      <c r="J207" t="s">
        <v>27</v>
      </c>
      <c r="K207" t="s">
        <v>264</v>
      </c>
      <c r="L207" s="2" t="s">
        <v>81</v>
      </c>
      <c r="M207" s="8" t="s">
        <v>82</v>
      </c>
      <c r="N207" s="7">
        <v>1.08</v>
      </c>
      <c r="O207" s="2">
        <v>1</v>
      </c>
      <c r="P207" s="7">
        <v>1.08</v>
      </c>
      <c r="Q207" s="7">
        <v>0</v>
      </c>
      <c r="R207" s="7">
        <v>0.17</v>
      </c>
      <c r="S207" s="7">
        <v>0.26</v>
      </c>
      <c r="T207" s="7">
        <v>1.25</v>
      </c>
      <c r="U207">
        <v>2</v>
      </c>
      <c r="V207">
        <v>2</v>
      </c>
    </row>
    <row r="208" spans="1:22">
      <c r="A208">
        <v>204</v>
      </c>
      <c r="B208" s="4">
        <v>46295.678506944445</v>
      </c>
      <c r="C208" s="5">
        <v>46295</v>
      </c>
      <c r="D208" s="6">
        <v>2.6784953703703702</v>
      </c>
      <c r="E208" s="5">
        <v>46295</v>
      </c>
      <c r="F208" t="s">
        <v>24</v>
      </c>
      <c r="G208" t="s">
        <v>25</v>
      </c>
      <c r="H208" t="s">
        <v>26</v>
      </c>
      <c r="I208" t="s">
        <v>27</v>
      </c>
      <c r="J208" t="s">
        <v>27</v>
      </c>
      <c r="K208" t="s">
        <v>269</v>
      </c>
      <c r="L208" s="2" t="s">
        <v>113</v>
      </c>
      <c r="M208" s="8" t="s">
        <v>114</v>
      </c>
      <c r="N208" s="7">
        <v>1.08</v>
      </c>
      <c r="O208" s="2">
        <v>1</v>
      </c>
      <c r="P208" s="7">
        <v>1.08</v>
      </c>
      <c r="Q208" s="7">
        <v>0</v>
      </c>
      <c r="R208" s="7">
        <v>0.17</v>
      </c>
      <c r="S208" s="7">
        <v>0.26</v>
      </c>
      <c r="T208" s="7">
        <v>1.25</v>
      </c>
      <c r="U208">
        <v>2</v>
      </c>
      <c r="V208">
        <v>2</v>
      </c>
    </row>
    <row r="209" spans="1:22">
      <c r="A209">
        <v>205</v>
      </c>
      <c r="B209" s="4">
        <v>46295.678506944445</v>
      </c>
      <c r="C209" s="5">
        <v>46295</v>
      </c>
      <c r="D209" s="6">
        <v>2.6795601851851854</v>
      </c>
      <c r="E209" s="5">
        <v>46295</v>
      </c>
      <c r="F209" t="s">
        <v>24</v>
      </c>
      <c r="G209" t="s">
        <v>25</v>
      </c>
      <c r="H209" t="s">
        <v>26</v>
      </c>
      <c r="I209" t="s">
        <v>27</v>
      </c>
      <c r="J209" t="s">
        <v>27</v>
      </c>
      <c r="K209" t="s">
        <v>269</v>
      </c>
      <c r="L209" s="2" t="s">
        <v>113</v>
      </c>
      <c r="M209" s="8" t="s">
        <v>114</v>
      </c>
      <c r="N209" s="7">
        <v>1.08</v>
      </c>
      <c r="O209" s="2">
        <v>1</v>
      </c>
      <c r="P209" s="7">
        <v>1.08</v>
      </c>
      <c r="Q209" s="7">
        <v>0</v>
      </c>
      <c r="R209" s="7">
        <v>0.17</v>
      </c>
      <c r="S209" s="7">
        <v>0.26</v>
      </c>
      <c r="T209" s="7">
        <v>1.25</v>
      </c>
      <c r="U209">
        <v>3</v>
      </c>
      <c r="V209">
        <v>3</v>
      </c>
    </row>
    <row r="210" spans="1:22">
      <c r="A210">
        <v>206</v>
      </c>
      <c r="B210" s="4">
        <v>46295.678506944445</v>
      </c>
      <c r="C210" s="5">
        <v>46295</v>
      </c>
      <c r="D210" s="6">
        <v>2.6807638888888889</v>
      </c>
      <c r="E210" s="5">
        <v>46295</v>
      </c>
      <c r="F210" t="s">
        <v>24</v>
      </c>
      <c r="G210" t="s">
        <v>25</v>
      </c>
      <c r="H210" t="s">
        <v>26</v>
      </c>
      <c r="I210" t="s">
        <v>27</v>
      </c>
      <c r="J210" t="s">
        <v>27</v>
      </c>
      <c r="K210" t="s">
        <v>269</v>
      </c>
      <c r="L210" s="3" t="s">
        <v>270</v>
      </c>
      <c r="M210" s="8" t="s">
        <v>271</v>
      </c>
      <c r="N210" s="7">
        <v>1.35</v>
      </c>
      <c r="O210" s="2">
        <v>1</v>
      </c>
      <c r="P210" s="7">
        <v>1.35</v>
      </c>
      <c r="Q210" s="7">
        <v>0</v>
      </c>
      <c r="R210" s="7">
        <v>0.21</v>
      </c>
      <c r="S210" s="7">
        <v>0.45</v>
      </c>
      <c r="T210" s="7">
        <v>1.56</v>
      </c>
      <c r="U210">
        <v>3</v>
      </c>
      <c r="V210">
        <v>3</v>
      </c>
    </row>
    <row r="211" spans="1:22">
      <c r="A211">
        <v>207</v>
      </c>
      <c r="B211" s="4">
        <v>46295.690324074072</v>
      </c>
      <c r="C211" s="5">
        <v>46295</v>
      </c>
      <c r="D211" s="6">
        <v>2.6903240740740739</v>
      </c>
      <c r="E211" s="5">
        <v>46295</v>
      </c>
      <c r="F211" t="s">
        <v>24</v>
      </c>
      <c r="G211" t="s">
        <v>25</v>
      </c>
      <c r="H211" t="s">
        <v>26</v>
      </c>
      <c r="I211" t="s">
        <v>27</v>
      </c>
      <c r="J211" t="s">
        <v>27</v>
      </c>
      <c r="K211" t="s">
        <v>272</v>
      </c>
      <c r="L211" s="2" t="s">
        <v>35</v>
      </c>
      <c r="M211" s="8" t="s">
        <v>36</v>
      </c>
      <c r="N211" s="7">
        <v>0.81</v>
      </c>
      <c r="O211" s="2">
        <v>1</v>
      </c>
      <c r="P211" s="7">
        <v>0.81</v>
      </c>
      <c r="Q211" s="7">
        <v>0</v>
      </c>
      <c r="R211" s="7">
        <v>0.13</v>
      </c>
      <c r="S211" s="7">
        <v>0.38</v>
      </c>
      <c r="T211" s="7">
        <v>0.94</v>
      </c>
      <c r="U211">
        <v>3</v>
      </c>
      <c r="V211">
        <v>3</v>
      </c>
    </row>
    <row r="212" spans="1:22">
      <c r="A212">
        <v>208</v>
      </c>
      <c r="B212" s="4">
        <v>46295.690324074072</v>
      </c>
      <c r="C212" s="5">
        <v>46295</v>
      </c>
      <c r="D212" s="6">
        <v>2.6903587962962963</v>
      </c>
      <c r="E212" s="5">
        <v>46295</v>
      </c>
      <c r="F212" t="s">
        <v>24</v>
      </c>
      <c r="G212" t="s">
        <v>25</v>
      </c>
      <c r="H212" t="s">
        <v>26</v>
      </c>
      <c r="I212" t="s">
        <v>27</v>
      </c>
      <c r="J212" t="s">
        <v>27</v>
      </c>
      <c r="K212" t="s">
        <v>272</v>
      </c>
      <c r="L212" s="2" t="s">
        <v>92</v>
      </c>
      <c r="M212" s="8" t="s">
        <v>93</v>
      </c>
      <c r="N212" s="7">
        <v>0.65</v>
      </c>
      <c r="O212" s="2">
        <v>1</v>
      </c>
      <c r="P212" s="7">
        <v>0.65</v>
      </c>
      <c r="Q212" s="7">
        <v>0</v>
      </c>
      <c r="R212" s="7">
        <v>0.1</v>
      </c>
      <c r="S212" s="7">
        <v>0.63</v>
      </c>
      <c r="T212" s="7">
        <v>0.75</v>
      </c>
      <c r="U212">
        <v>3</v>
      </c>
      <c r="V212">
        <v>3</v>
      </c>
    </row>
    <row r="213" spans="1:22">
      <c r="A213">
        <v>209</v>
      </c>
      <c r="B213" s="4">
        <v>46295.690324074072</v>
      </c>
      <c r="C213" s="5">
        <v>46295</v>
      </c>
      <c r="D213" s="6">
        <v>2.6904050925925924</v>
      </c>
      <c r="E213" s="5">
        <v>46295</v>
      </c>
      <c r="F213" t="s">
        <v>24</v>
      </c>
      <c r="G213" t="s">
        <v>25</v>
      </c>
      <c r="H213" t="s">
        <v>26</v>
      </c>
      <c r="I213" t="s">
        <v>27</v>
      </c>
      <c r="J213" t="s">
        <v>27</v>
      </c>
      <c r="K213" t="s">
        <v>272</v>
      </c>
      <c r="L213" s="2" t="s">
        <v>267</v>
      </c>
      <c r="M213" s="8" t="s">
        <v>268</v>
      </c>
      <c r="N213" s="7">
        <v>0.65</v>
      </c>
      <c r="O213" s="2">
        <v>1</v>
      </c>
      <c r="P213" s="7">
        <v>0.65</v>
      </c>
      <c r="Q213" s="7">
        <v>0</v>
      </c>
      <c r="R213" s="7">
        <v>0.1</v>
      </c>
      <c r="S213" s="7">
        <v>0.63</v>
      </c>
      <c r="T213" s="7">
        <v>0.75</v>
      </c>
      <c r="U213">
        <v>3</v>
      </c>
      <c r="V213">
        <v>3</v>
      </c>
    </row>
    <row r="214" spans="1:22">
      <c r="A214">
        <v>210</v>
      </c>
      <c r="B214" s="4">
        <v>46295.690925925926</v>
      </c>
      <c r="C214" s="5">
        <v>46295</v>
      </c>
      <c r="D214" s="6">
        <v>2.6909259259259257</v>
      </c>
      <c r="E214" s="5">
        <v>46295</v>
      </c>
      <c r="F214" t="s">
        <v>24</v>
      </c>
      <c r="G214" t="s">
        <v>25</v>
      </c>
      <c r="H214" t="s">
        <v>26</v>
      </c>
      <c r="I214" t="s">
        <v>27</v>
      </c>
      <c r="J214" t="s">
        <v>27</v>
      </c>
      <c r="K214" t="s">
        <v>273</v>
      </c>
      <c r="L214" s="2" t="s">
        <v>38</v>
      </c>
      <c r="M214" s="8" t="s">
        <v>39</v>
      </c>
      <c r="N214" s="7">
        <v>0.03</v>
      </c>
      <c r="O214" s="2">
        <v>1</v>
      </c>
      <c r="P214" s="7">
        <v>0.03</v>
      </c>
      <c r="Q214" s="7">
        <v>0</v>
      </c>
      <c r="R214" s="7">
        <v>0</v>
      </c>
      <c r="S214" s="7">
        <v>0.01</v>
      </c>
      <c r="T214" s="7">
        <v>0.03</v>
      </c>
      <c r="U214">
        <v>3</v>
      </c>
      <c r="V214">
        <v>3</v>
      </c>
    </row>
    <row r="215" spans="1:22">
      <c r="A215">
        <v>211</v>
      </c>
      <c r="B215" s="4">
        <v>46295.692476851851</v>
      </c>
      <c r="C215" s="5">
        <v>46295</v>
      </c>
      <c r="D215" s="6">
        <v>2.6924768518518518</v>
      </c>
      <c r="E215" s="5">
        <v>46295</v>
      </c>
      <c r="F215" t="s">
        <v>24</v>
      </c>
      <c r="G215" t="s">
        <v>25</v>
      </c>
      <c r="H215" t="s">
        <v>26</v>
      </c>
      <c r="I215" t="s">
        <v>27</v>
      </c>
      <c r="J215" t="s">
        <v>27</v>
      </c>
      <c r="K215" t="s">
        <v>274</v>
      </c>
      <c r="L215" s="2" t="s">
        <v>215</v>
      </c>
      <c r="M215" s="8" t="s">
        <v>216</v>
      </c>
      <c r="N215" s="7">
        <v>0.81</v>
      </c>
      <c r="O215" s="2">
        <v>1</v>
      </c>
      <c r="P215" s="7">
        <v>0.81</v>
      </c>
      <c r="Q215" s="7">
        <v>0</v>
      </c>
      <c r="R215" s="7">
        <v>0.13</v>
      </c>
      <c r="S215" s="7">
        <v>0.78</v>
      </c>
      <c r="T215" s="7">
        <v>0.94</v>
      </c>
      <c r="U215">
        <v>3</v>
      </c>
      <c r="V215">
        <v>3</v>
      </c>
    </row>
    <row r="216" spans="1:22">
      <c r="A216">
        <v>212</v>
      </c>
      <c r="B216" s="4">
        <v>46295.696284722224</v>
      </c>
      <c r="C216" s="5">
        <v>46295</v>
      </c>
      <c r="D216" s="6">
        <v>2.6962847222222224</v>
      </c>
      <c r="E216" s="5">
        <v>46295</v>
      </c>
      <c r="F216" t="s">
        <v>24</v>
      </c>
      <c r="G216" t="s">
        <v>25</v>
      </c>
      <c r="H216" t="s">
        <v>26</v>
      </c>
      <c r="I216" t="s">
        <v>27</v>
      </c>
      <c r="J216" t="s">
        <v>27</v>
      </c>
      <c r="K216" t="s">
        <v>275</v>
      </c>
      <c r="L216" s="2" t="s">
        <v>250</v>
      </c>
      <c r="M216" s="8" t="s">
        <v>251</v>
      </c>
      <c r="N216" s="7">
        <v>1.35</v>
      </c>
      <c r="O216" s="2">
        <v>1</v>
      </c>
      <c r="P216" s="7">
        <v>1.35</v>
      </c>
      <c r="Q216" s="7">
        <v>0</v>
      </c>
      <c r="R216" s="7">
        <v>0.21</v>
      </c>
      <c r="S216" s="7">
        <v>1.3</v>
      </c>
      <c r="T216" s="7">
        <v>1.56</v>
      </c>
      <c r="U216">
        <v>3</v>
      </c>
      <c r="V216">
        <v>3</v>
      </c>
    </row>
    <row r="217" spans="1:22">
      <c r="A217">
        <v>213</v>
      </c>
      <c r="B217" s="4">
        <v>46295.701828703706</v>
      </c>
      <c r="C217" s="5">
        <v>46295</v>
      </c>
      <c r="D217" s="6">
        <v>2.7018171296296298</v>
      </c>
      <c r="E217" s="5">
        <v>46295</v>
      </c>
      <c r="F217" t="s">
        <v>24</v>
      </c>
      <c r="G217" t="s">
        <v>25</v>
      </c>
      <c r="H217" t="s">
        <v>26</v>
      </c>
      <c r="I217" t="s">
        <v>27</v>
      </c>
      <c r="J217" t="s">
        <v>27</v>
      </c>
      <c r="K217" t="s">
        <v>276</v>
      </c>
      <c r="L217" s="2" t="s">
        <v>259</v>
      </c>
      <c r="M217" s="8" t="s">
        <v>260</v>
      </c>
      <c r="N217" s="7">
        <v>1.08</v>
      </c>
      <c r="O217" s="2">
        <v>2</v>
      </c>
      <c r="P217" s="7">
        <v>2.16</v>
      </c>
      <c r="Q217" s="7">
        <v>0</v>
      </c>
      <c r="R217" s="7">
        <v>0.34</v>
      </c>
      <c r="S217" s="7">
        <v>1.1200000000000001</v>
      </c>
      <c r="T217" s="7">
        <v>2.5</v>
      </c>
      <c r="U217">
        <v>3</v>
      </c>
      <c r="V217">
        <v>3</v>
      </c>
    </row>
    <row r="218" spans="1:22">
      <c r="A218">
        <v>214</v>
      </c>
      <c r="B218" s="4">
        <v>46295.701828703706</v>
      </c>
      <c r="C218" s="5">
        <v>46295</v>
      </c>
      <c r="D218" s="6">
        <v>2.7019444444444445</v>
      </c>
      <c r="E218" s="5">
        <v>46295</v>
      </c>
      <c r="F218" t="s">
        <v>24</v>
      </c>
      <c r="G218" t="s">
        <v>25</v>
      </c>
      <c r="H218" t="s">
        <v>26</v>
      </c>
      <c r="I218" t="s">
        <v>27</v>
      </c>
      <c r="J218" t="s">
        <v>27</v>
      </c>
      <c r="K218" t="s">
        <v>276</v>
      </c>
      <c r="L218" s="2" t="s">
        <v>143</v>
      </c>
      <c r="M218" s="8" t="s">
        <v>144</v>
      </c>
      <c r="N218" s="7">
        <v>1.25</v>
      </c>
      <c r="O218" s="2">
        <v>1</v>
      </c>
      <c r="P218" s="7">
        <v>1.25</v>
      </c>
      <c r="Q218" s="7">
        <v>0</v>
      </c>
      <c r="R218" s="7">
        <v>0</v>
      </c>
      <c r="S218" s="7">
        <v>1.21</v>
      </c>
      <c r="T218" s="7">
        <v>1.25</v>
      </c>
      <c r="U218">
        <v>3</v>
      </c>
      <c r="V218">
        <v>3</v>
      </c>
    </row>
    <row r="219" spans="1:22">
      <c r="A219">
        <v>215</v>
      </c>
      <c r="B219" s="4">
        <v>46295.701828703706</v>
      </c>
      <c r="C219" s="5">
        <v>46295</v>
      </c>
      <c r="D219" s="6">
        <v>2.7061574074074075</v>
      </c>
      <c r="E219" s="5">
        <v>46295</v>
      </c>
      <c r="F219" t="s">
        <v>24</v>
      </c>
      <c r="G219" t="s">
        <v>25</v>
      </c>
      <c r="H219" t="s">
        <v>26</v>
      </c>
      <c r="I219" t="s">
        <v>27</v>
      </c>
      <c r="J219" t="s">
        <v>27</v>
      </c>
      <c r="K219" t="s">
        <v>276</v>
      </c>
      <c r="L219" s="2" t="s">
        <v>215</v>
      </c>
      <c r="M219" s="8" t="s">
        <v>216</v>
      </c>
      <c r="N219" s="7">
        <v>0.81</v>
      </c>
      <c r="O219" s="2">
        <v>1</v>
      </c>
      <c r="P219" s="7">
        <v>0.81</v>
      </c>
      <c r="Q219" s="7">
        <v>0</v>
      </c>
      <c r="R219" s="7">
        <v>0.13</v>
      </c>
      <c r="S219" s="7">
        <v>0.78</v>
      </c>
      <c r="T219" s="7">
        <v>0.94</v>
      </c>
      <c r="U219">
        <v>3</v>
      </c>
      <c r="V219">
        <v>3</v>
      </c>
    </row>
    <row r="220" spans="1:22">
      <c r="A220">
        <v>216</v>
      </c>
      <c r="B220" s="4">
        <v>46295.710185185184</v>
      </c>
      <c r="C220" s="5">
        <v>46295</v>
      </c>
      <c r="D220" s="6">
        <v>2.7101736111111112</v>
      </c>
      <c r="E220" s="5">
        <v>46295</v>
      </c>
      <c r="F220" t="s">
        <v>24</v>
      </c>
      <c r="G220" t="s">
        <v>25</v>
      </c>
      <c r="H220" t="s">
        <v>26</v>
      </c>
      <c r="I220" t="s">
        <v>27</v>
      </c>
      <c r="J220" t="s">
        <v>27</v>
      </c>
      <c r="K220" t="s">
        <v>277</v>
      </c>
      <c r="L220" s="2" t="s">
        <v>218</v>
      </c>
      <c r="M220" s="8" t="s">
        <v>219</v>
      </c>
      <c r="N220" s="7">
        <v>1.9</v>
      </c>
      <c r="O220" s="2">
        <v>1</v>
      </c>
      <c r="P220" s="7">
        <v>1.9</v>
      </c>
      <c r="Q220" s="7">
        <v>0</v>
      </c>
      <c r="R220" s="7">
        <v>0.28999999999999998</v>
      </c>
      <c r="S220" s="7">
        <v>1.84</v>
      </c>
      <c r="T220" s="7">
        <v>2.19</v>
      </c>
      <c r="U220">
        <v>3</v>
      </c>
      <c r="V220">
        <v>3</v>
      </c>
    </row>
    <row r="221" spans="1:22">
      <c r="A221">
        <v>217</v>
      </c>
      <c r="B221" s="4">
        <v>46295.719641203701</v>
      </c>
      <c r="C221" s="5">
        <v>46295</v>
      </c>
      <c r="D221" s="6">
        <v>2.7196296296296296</v>
      </c>
      <c r="E221" s="5">
        <v>46295</v>
      </c>
      <c r="F221" t="s">
        <v>24</v>
      </c>
      <c r="G221" t="s">
        <v>25</v>
      </c>
      <c r="H221" t="s">
        <v>26</v>
      </c>
      <c r="I221" t="s">
        <v>27</v>
      </c>
      <c r="J221" t="s">
        <v>27</v>
      </c>
      <c r="K221" t="s">
        <v>278</v>
      </c>
      <c r="L221" s="2" t="s">
        <v>35</v>
      </c>
      <c r="M221" s="8" t="s">
        <v>36</v>
      </c>
      <c r="N221" s="7">
        <v>0.81</v>
      </c>
      <c r="O221" s="2">
        <v>2</v>
      </c>
      <c r="P221" s="7">
        <v>1.62</v>
      </c>
      <c r="Q221" s="7">
        <v>0</v>
      </c>
      <c r="R221" s="7">
        <v>0.25</v>
      </c>
      <c r="S221" s="7">
        <v>0.75</v>
      </c>
      <c r="T221" s="7">
        <v>1.87</v>
      </c>
      <c r="U221">
        <v>3</v>
      </c>
      <c r="V221">
        <v>3</v>
      </c>
    </row>
    <row r="222" spans="1:22">
      <c r="A222">
        <v>218</v>
      </c>
      <c r="B222" s="4">
        <v>46295.719641203701</v>
      </c>
      <c r="C222" s="5">
        <v>46295</v>
      </c>
      <c r="D222" s="6">
        <v>2.720439814814815</v>
      </c>
      <c r="E222" s="5">
        <v>46295</v>
      </c>
      <c r="F222" t="s">
        <v>24</v>
      </c>
      <c r="G222" t="s">
        <v>25</v>
      </c>
      <c r="H222" t="s">
        <v>26</v>
      </c>
      <c r="I222" t="s">
        <v>27</v>
      </c>
      <c r="J222" t="s">
        <v>27</v>
      </c>
      <c r="K222" t="s">
        <v>278</v>
      </c>
      <c r="L222" s="2" t="s">
        <v>50</v>
      </c>
      <c r="M222" s="8" t="s">
        <v>51</v>
      </c>
      <c r="N222" s="7">
        <v>0.43</v>
      </c>
      <c r="O222" s="2">
        <v>1</v>
      </c>
      <c r="P222" s="7">
        <v>0.43</v>
      </c>
      <c r="Q222" s="7">
        <v>0</v>
      </c>
      <c r="R222" s="7">
        <v>7.0000000000000007E-2</v>
      </c>
      <c r="S222" s="7">
        <v>0.41</v>
      </c>
      <c r="T222" s="7">
        <v>0.5</v>
      </c>
      <c r="U222">
        <v>3</v>
      </c>
      <c r="V222">
        <v>3</v>
      </c>
    </row>
    <row r="223" spans="1:22">
      <c r="A223">
        <v>219</v>
      </c>
      <c r="B223" s="4">
        <v>46295.723599537036</v>
      </c>
      <c r="C223" s="5">
        <v>46295</v>
      </c>
      <c r="D223" s="6">
        <v>2.7235995370370372</v>
      </c>
      <c r="E223" s="5">
        <v>46295</v>
      </c>
      <c r="F223" t="s">
        <v>24</v>
      </c>
      <c r="G223" t="s">
        <v>25</v>
      </c>
      <c r="H223" t="s">
        <v>26</v>
      </c>
      <c r="I223" t="s">
        <v>27</v>
      </c>
      <c r="J223" t="s">
        <v>27</v>
      </c>
      <c r="K223" t="s">
        <v>279</v>
      </c>
      <c r="L223" s="2" t="s">
        <v>63</v>
      </c>
      <c r="M223" s="8" t="s">
        <v>64</v>
      </c>
      <c r="N223" s="7">
        <v>1.9</v>
      </c>
      <c r="O223" s="2">
        <v>1</v>
      </c>
      <c r="P223" s="7">
        <v>1.9</v>
      </c>
      <c r="Q223" s="7">
        <v>0</v>
      </c>
      <c r="R223" s="7">
        <v>0.28999999999999998</v>
      </c>
      <c r="S223" s="7">
        <v>1.83</v>
      </c>
      <c r="T223" s="7">
        <v>2.19</v>
      </c>
      <c r="U223">
        <v>3</v>
      </c>
      <c r="V223">
        <v>3</v>
      </c>
    </row>
    <row r="224" spans="1:22">
      <c r="A224">
        <v>220</v>
      </c>
      <c r="B224" s="4">
        <v>46295.726481481484</v>
      </c>
      <c r="C224" s="5">
        <v>46295</v>
      </c>
      <c r="D224" s="6">
        <v>2.7264699074074072</v>
      </c>
      <c r="E224" s="5">
        <v>46295</v>
      </c>
      <c r="F224" t="s">
        <v>24</v>
      </c>
      <c r="G224" t="s">
        <v>25</v>
      </c>
      <c r="H224" t="s">
        <v>26</v>
      </c>
      <c r="I224" t="s">
        <v>27</v>
      </c>
      <c r="J224" t="s">
        <v>27</v>
      </c>
      <c r="K224" t="s">
        <v>280</v>
      </c>
      <c r="L224" s="2" t="s">
        <v>63</v>
      </c>
      <c r="M224" s="8" t="s">
        <v>64</v>
      </c>
      <c r="N224" s="7">
        <v>1.9</v>
      </c>
      <c r="O224" s="2">
        <v>1</v>
      </c>
      <c r="P224" s="7">
        <v>1.9</v>
      </c>
      <c r="Q224" s="7">
        <v>0</v>
      </c>
      <c r="R224" s="7">
        <v>0.28999999999999998</v>
      </c>
      <c r="S224" s="7">
        <v>1.83</v>
      </c>
      <c r="T224" s="7">
        <v>2.19</v>
      </c>
      <c r="U224">
        <v>3</v>
      </c>
      <c r="V224">
        <v>3</v>
      </c>
    </row>
    <row r="225" spans="1:22">
      <c r="A225">
        <v>221</v>
      </c>
      <c r="B225" s="4">
        <v>46295.726481481484</v>
      </c>
      <c r="C225" s="5">
        <v>46295</v>
      </c>
      <c r="D225" s="6">
        <v>2.7271064814814814</v>
      </c>
      <c r="E225" s="5">
        <v>46295</v>
      </c>
      <c r="F225" t="s">
        <v>24</v>
      </c>
      <c r="G225" t="s">
        <v>25</v>
      </c>
      <c r="H225" t="s">
        <v>26</v>
      </c>
      <c r="I225" t="s">
        <v>27</v>
      </c>
      <c r="J225" t="s">
        <v>27</v>
      </c>
      <c r="K225" t="s">
        <v>280</v>
      </c>
      <c r="L225" s="2" t="s">
        <v>109</v>
      </c>
      <c r="M225" s="8" t="s">
        <v>110</v>
      </c>
      <c r="N225" s="7">
        <v>1.08</v>
      </c>
      <c r="O225" s="2">
        <v>1</v>
      </c>
      <c r="P225" s="7">
        <v>1.08</v>
      </c>
      <c r="Q225" s="7">
        <v>0</v>
      </c>
      <c r="R225" s="7">
        <v>0.17</v>
      </c>
      <c r="S225" s="7">
        <v>0.26</v>
      </c>
      <c r="T225" s="7">
        <v>1.25</v>
      </c>
      <c r="U225">
        <v>3</v>
      </c>
      <c r="V225">
        <v>3</v>
      </c>
    </row>
    <row r="226" spans="1:22">
      <c r="A226">
        <v>222</v>
      </c>
      <c r="B226" s="4">
        <v>46295.726481481484</v>
      </c>
      <c r="C226" s="5">
        <v>46295</v>
      </c>
      <c r="D226" s="6">
        <v>2.727210648148148</v>
      </c>
      <c r="E226" s="5">
        <v>46295</v>
      </c>
      <c r="F226" t="s">
        <v>24</v>
      </c>
      <c r="G226" t="s">
        <v>25</v>
      </c>
      <c r="H226" t="s">
        <v>26</v>
      </c>
      <c r="I226" t="s">
        <v>27</v>
      </c>
      <c r="J226" t="s">
        <v>27</v>
      </c>
      <c r="K226" t="s">
        <v>280</v>
      </c>
      <c r="L226" s="2" t="s">
        <v>113</v>
      </c>
      <c r="M226" s="8" t="s">
        <v>114</v>
      </c>
      <c r="N226" s="7">
        <v>1.08</v>
      </c>
      <c r="O226" s="2">
        <v>2</v>
      </c>
      <c r="P226" s="7">
        <v>2.16</v>
      </c>
      <c r="Q226" s="7">
        <v>0</v>
      </c>
      <c r="R226" s="7">
        <v>0.34</v>
      </c>
      <c r="S226" s="7">
        <v>0.51</v>
      </c>
      <c r="T226" s="7">
        <v>2.5</v>
      </c>
      <c r="U226">
        <v>3</v>
      </c>
      <c r="V226">
        <v>3</v>
      </c>
    </row>
    <row r="227" spans="1:22">
      <c r="A227">
        <v>223</v>
      </c>
      <c r="B227" s="4">
        <v>46295.741875</v>
      </c>
      <c r="C227" s="5">
        <v>46295</v>
      </c>
      <c r="D227" s="6">
        <v>2.741863425925926</v>
      </c>
      <c r="E227" s="5">
        <v>46295</v>
      </c>
      <c r="F227" t="s">
        <v>24</v>
      </c>
      <c r="G227" t="s">
        <v>25</v>
      </c>
      <c r="H227" t="s">
        <v>26</v>
      </c>
      <c r="I227" t="s">
        <v>27</v>
      </c>
      <c r="J227" t="s">
        <v>27</v>
      </c>
      <c r="K227" t="s">
        <v>281</v>
      </c>
      <c r="L227" s="2" t="s">
        <v>109</v>
      </c>
      <c r="M227" s="8" t="s">
        <v>110</v>
      </c>
      <c r="N227" s="7">
        <v>1.08</v>
      </c>
      <c r="O227" s="2">
        <v>1</v>
      </c>
      <c r="P227" s="7">
        <v>1.08</v>
      </c>
      <c r="Q227" s="7">
        <v>0</v>
      </c>
      <c r="R227" s="7">
        <v>0.17</v>
      </c>
      <c r="S227" s="7">
        <v>0.26</v>
      </c>
      <c r="T227" s="7">
        <v>1.25</v>
      </c>
      <c r="U227">
        <v>3</v>
      </c>
      <c r="V227">
        <v>3</v>
      </c>
    </row>
    <row r="228" spans="1:22">
      <c r="A228">
        <v>224</v>
      </c>
      <c r="B228" s="4">
        <v>46295.744872685187</v>
      </c>
      <c r="C228" s="5">
        <v>46295</v>
      </c>
      <c r="D228" s="6">
        <v>2.744872685185185</v>
      </c>
      <c r="E228" s="5">
        <v>46295</v>
      </c>
      <c r="F228" t="s">
        <v>24</v>
      </c>
      <c r="G228" t="s">
        <v>25</v>
      </c>
      <c r="H228" t="s">
        <v>26</v>
      </c>
      <c r="I228" t="s">
        <v>27</v>
      </c>
      <c r="J228" t="s">
        <v>27</v>
      </c>
      <c r="K228" t="s">
        <v>282</v>
      </c>
      <c r="L228" s="2" t="s">
        <v>283</v>
      </c>
      <c r="M228" s="8" t="s">
        <v>284</v>
      </c>
      <c r="N228" s="7">
        <v>1.08</v>
      </c>
      <c r="O228" s="2">
        <v>1</v>
      </c>
      <c r="P228" s="7">
        <v>1.08</v>
      </c>
      <c r="Q228" s="7">
        <v>0</v>
      </c>
      <c r="R228" s="7">
        <v>0.17</v>
      </c>
      <c r="S228" s="7">
        <v>0.43</v>
      </c>
      <c r="T228" s="7">
        <v>1.25</v>
      </c>
      <c r="U228">
        <v>3</v>
      </c>
      <c r="V228">
        <v>3</v>
      </c>
    </row>
    <row r="229" spans="1:22">
      <c r="A229">
        <v>225</v>
      </c>
      <c r="B229" s="4">
        <v>46295.748287037037</v>
      </c>
      <c r="C229" s="5">
        <v>46295</v>
      </c>
      <c r="D229" s="6">
        <v>2.7482754629629631</v>
      </c>
      <c r="E229" s="5">
        <v>46295</v>
      </c>
      <c r="F229" t="s">
        <v>24</v>
      </c>
      <c r="G229" t="s">
        <v>25</v>
      </c>
      <c r="H229" t="s">
        <v>26</v>
      </c>
      <c r="I229" t="s">
        <v>27</v>
      </c>
      <c r="J229" t="s">
        <v>27</v>
      </c>
      <c r="K229" t="s">
        <v>285</v>
      </c>
      <c r="L229" s="2" t="s">
        <v>88</v>
      </c>
      <c r="M229" s="8" t="s">
        <v>89</v>
      </c>
      <c r="N229" s="7">
        <v>0.81</v>
      </c>
      <c r="O229" s="2">
        <v>2</v>
      </c>
      <c r="P229" s="7">
        <v>1.62</v>
      </c>
      <c r="Q229" s="7">
        <v>0</v>
      </c>
      <c r="R229" s="7">
        <v>0.25</v>
      </c>
      <c r="S229" s="7">
        <v>1.57</v>
      </c>
      <c r="T229" s="7">
        <v>1.87</v>
      </c>
      <c r="U229">
        <v>3</v>
      </c>
      <c r="V229">
        <v>3</v>
      </c>
    </row>
    <row r="230" spans="1:22">
      <c r="A230">
        <v>226</v>
      </c>
      <c r="B230" s="4">
        <v>46295.750949074078</v>
      </c>
      <c r="C230" s="5">
        <v>46295</v>
      </c>
      <c r="D230" s="6">
        <v>2.7509490740740739</v>
      </c>
      <c r="E230" s="5">
        <v>46295</v>
      </c>
      <c r="F230" t="s">
        <v>24</v>
      </c>
      <c r="G230" t="s">
        <v>25</v>
      </c>
      <c r="H230" t="s">
        <v>26</v>
      </c>
      <c r="I230" t="s">
        <v>27</v>
      </c>
      <c r="J230" t="s">
        <v>27</v>
      </c>
      <c r="K230" t="s">
        <v>286</v>
      </c>
      <c r="L230" s="3" t="s">
        <v>270</v>
      </c>
      <c r="M230" s="8" t="s">
        <v>271</v>
      </c>
      <c r="N230" s="7">
        <v>1.35</v>
      </c>
      <c r="O230" s="2">
        <v>1</v>
      </c>
      <c r="P230" s="7">
        <v>1.35</v>
      </c>
      <c r="Q230" s="7">
        <v>0</v>
      </c>
      <c r="R230" s="7">
        <v>0.21</v>
      </c>
      <c r="S230" s="7">
        <v>0.45</v>
      </c>
      <c r="T230" s="7">
        <v>1.56</v>
      </c>
      <c r="U230">
        <v>3</v>
      </c>
      <c r="V230">
        <v>3</v>
      </c>
    </row>
    <row r="231" spans="1:22">
      <c r="A231">
        <v>227</v>
      </c>
      <c r="B231" s="4">
        <v>46295.750949074078</v>
      </c>
      <c r="C231" s="5">
        <v>46295</v>
      </c>
      <c r="D231" s="6">
        <v>2.7511342592592594</v>
      </c>
      <c r="E231" s="5">
        <v>46295</v>
      </c>
      <c r="F231" t="s">
        <v>24</v>
      </c>
      <c r="G231" t="s">
        <v>25</v>
      </c>
      <c r="H231" t="s">
        <v>26</v>
      </c>
      <c r="I231" t="s">
        <v>27</v>
      </c>
      <c r="J231" t="s">
        <v>27</v>
      </c>
      <c r="K231" t="s">
        <v>286</v>
      </c>
      <c r="L231" s="2" t="s">
        <v>35</v>
      </c>
      <c r="M231" s="8" t="s">
        <v>36</v>
      </c>
      <c r="N231" s="7">
        <v>0.81</v>
      </c>
      <c r="O231" s="2">
        <v>1</v>
      </c>
      <c r="P231" s="7">
        <v>0.81</v>
      </c>
      <c r="Q231" s="7">
        <v>0</v>
      </c>
      <c r="R231" s="7">
        <v>0.13</v>
      </c>
      <c r="S231" s="7">
        <v>0.38</v>
      </c>
      <c r="T231" s="7">
        <v>0.94</v>
      </c>
      <c r="U231">
        <v>3</v>
      </c>
      <c r="V231">
        <v>3</v>
      </c>
    </row>
    <row r="232" spans="1:22">
      <c r="A232">
        <v>228</v>
      </c>
      <c r="B232" s="4">
        <v>46295.750949074078</v>
      </c>
      <c r="C232" s="5">
        <v>46295</v>
      </c>
      <c r="D232" s="6">
        <v>2.7512962962962964</v>
      </c>
      <c r="E232" s="5">
        <v>46295</v>
      </c>
      <c r="F232" t="s">
        <v>24</v>
      </c>
      <c r="G232" t="s">
        <v>25</v>
      </c>
      <c r="H232" t="s">
        <v>26</v>
      </c>
      <c r="I232" t="s">
        <v>27</v>
      </c>
      <c r="J232" t="s">
        <v>27</v>
      </c>
      <c r="K232" t="s">
        <v>286</v>
      </c>
      <c r="L232" s="2" t="s">
        <v>29</v>
      </c>
      <c r="M232" s="8" t="s">
        <v>30</v>
      </c>
      <c r="N232" s="7">
        <v>0.81</v>
      </c>
      <c r="O232" s="2">
        <v>1</v>
      </c>
      <c r="P232" s="7">
        <v>0.81</v>
      </c>
      <c r="Q232" s="7">
        <v>0</v>
      </c>
      <c r="R232" s="7">
        <v>0.13</v>
      </c>
      <c r="S232" s="7">
        <v>0.43</v>
      </c>
      <c r="T232" s="7">
        <v>0.94</v>
      </c>
      <c r="U232">
        <v>3</v>
      </c>
      <c r="V232">
        <v>3</v>
      </c>
    </row>
    <row r="233" spans="1:22">
      <c r="A233">
        <v>229</v>
      </c>
      <c r="B233" s="4">
        <v>46295.75408564815</v>
      </c>
      <c r="C233" s="5">
        <v>46295</v>
      </c>
      <c r="D233" s="6">
        <v>2.7540856481481479</v>
      </c>
      <c r="E233" s="5">
        <v>46295</v>
      </c>
      <c r="F233" t="s">
        <v>24</v>
      </c>
      <c r="G233" t="s">
        <v>25</v>
      </c>
      <c r="H233" t="s">
        <v>26</v>
      </c>
      <c r="I233" t="s">
        <v>27</v>
      </c>
      <c r="J233" t="s">
        <v>27</v>
      </c>
      <c r="K233" t="s">
        <v>287</v>
      </c>
      <c r="L233" s="2" t="s">
        <v>59</v>
      </c>
      <c r="M233" s="8" t="s">
        <v>60</v>
      </c>
      <c r="N233" s="7">
        <v>0.31</v>
      </c>
      <c r="O233" s="2">
        <v>5</v>
      </c>
      <c r="P233" s="7">
        <v>1.55</v>
      </c>
      <c r="Q233" s="7">
        <v>0</v>
      </c>
      <c r="R233" s="7">
        <v>0</v>
      </c>
      <c r="S233" s="7">
        <v>1.5</v>
      </c>
      <c r="T233" s="7">
        <v>1.55</v>
      </c>
      <c r="U233">
        <v>3</v>
      </c>
      <c r="V233">
        <v>3</v>
      </c>
    </row>
    <row r="234" spans="1:22">
      <c r="A234">
        <v>230</v>
      </c>
      <c r="B234" s="4">
        <v>46295.760914351849</v>
      </c>
      <c r="C234" s="5">
        <v>46295</v>
      </c>
      <c r="D234" s="6">
        <v>2.7609143518518517</v>
      </c>
      <c r="E234" s="5">
        <v>46295</v>
      </c>
      <c r="F234" t="s">
        <v>24</v>
      </c>
      <c r="G234" t="s">
        <v>25</v>
      </c>
      <c r="H234" t="s">
        <v>26</v>
      </c>
      <c r="I234" t="s">
        <v>27</v>
      </c>
      <c r="J234" t="s">
        <v>27</v>
      </c>
      <c r="K234" t="s">
        <v>288</v>
      </c>
      <c r="L234" s="2" t="s">
        <v>56</v>
      </c>
      <c r="M234" s="8" t="s">
        <v>57</v>
      </c>
      <c r="N234" s="7">
        <v>0.27</v>
      </c>
      <c r="O234" s="2">
        <v>1</v>
      </c>
      <c r="P234" s="7">
        <v>0.27</v>
      </c>
      <c r="Q234" s="7">
        <v>0</v>
      </c>
      <c r="R234" s="7">
        <v>0.04</v>
      </c>
      <c r="S234" s="7">
        <v>0.19</v>
      </c>
      <c r="T234" s="7">
        <v>0.31</v>
      </c>
      <c r="U234">
        <v>3</v>
      </c>
      <c r="V234">
        <v>3</v>
      </c>
    </row>
    <row r="235" spans="1:22">
      <c r="A235">
        <v>231</v>
      </c>
      <c r="B235" s="4">
        <v>46295.762233796297</v>
      </c>
      <c r="C235" s="5">
        <v>46295</v>
      </c>
      <c r="D235" s="6">
        <v>2.7622222222222224</v>
      </c>
      <c r="E235" s="5">
        <v>46295</v>
      </c>
      <c r="F235" t="s">
        <v>24</v>
      </c>
      <c r="G235" t="s">
        <v>25</v>
      </c>
      <c r="H235" t="s">
        <v>26</v>
      </c>
      <c r="I235" t="s">
        <v>27</v>
      </c>
      <c r="J235" t="s">
        <v>27</v>
      </c>
      <c r="K235" t="s">
        <v>289</v>
      </c>
      <c r="L235" s="2" t="s">
        <v>290</v>
      </c>
      <c r="M235" s="8" t="s">
        <v>291</v>
      </c>
      <c r="N235" s="7">
        <v>0.55000000000000004</v>
      </c>
      <c r="O235" s="2">
        <v>1</v>
      </c>
      <c r="P235" s="7">
        <v>0.55000000000000004</v>
      </c>
      <c r="Q235" s="7">
        <v>0</v>
      </c>
      <c r="R235" s="7">
        <v>0.08</v>
      </c>
      <c r="S235" s="7">
        <v>0.24</v>
      </c>
      <c r="T235" s="7">
        <v>0.63</v>
      </c>
      <c r="U235">
        <v>3</v>
      </c>
      <c r="V235">
        <v>3</v>
      </c>
    </row>
    <row r="236" spans="1:22">
      <c r="A236">
        <v>232</v>
      </c>
      <c r="B236" s="4">
        <v>46295.762754629628</v>
      </c>
      <c r="C236" s="5">
        <v>46295</v>
      </c>
      <c r="D236" s="6">
        <v>2.7627546296296295</v>
      </c>
      <c r="E236" s="5">
        <v>46295</v>
      </c>
      <c r="F236" t="s">
        <v>24</v>
      </c>
      <c r="G236" t="s">
        <v>25</v>
      </c>
      <c r="H236" t="s">
        <v>26</v>
      </c>
      <c r="I236" t="s">
        <v>27</v>
      </c>
      <c r="J236" t="s">
        <v>27</v>
      </c>
      <c r="K236" t="s">
        <v>292</v>
      </c>
      <c r="L236" s="2" t="s">
        <v>149</v>
      </c>
      <c r="M236" s="8" t="s">
        <v>150</v>
      </c>
      <c r="N236" s="7">
        <v>0.55000000000000004</v>
      </c>
      <c r="O236" s="2">
        <v>1</v>
      </c>
      <c r="P236" s="7">
        <v>0.55000000000000004</v>
      </c>
      <c r="Q236" s="7">
        <v>0</v>
      </c>
      <c r="R236" s="7">
        <v>0.08</v>
      </c>
      <c r="S236" s="7">
        <v>0.54</v>
      </c>
      <c r="T236" s="7">
        <v>0.63</v>
      </c>
      <c r="U236">
        <v>3</v>
      </c>
      <c r="V236">
        <v>3</v>
      </c>
    </row>
    <row r="237" spans="1:22">
      <c r="A237">
        <v>233</v>
      </c>
      <c r="B237" s="4">
        <v>46295.774594907409</v>
      </c>
      <c r="C237" s="5">
        <v>46295</v>
      </c>
      <c r="D237" s="6">
        <v>2.7745949074074074</v>
      </c>
      <c r="E237" s="5">
        <v>46295</v>
      </c>
      <c r="F237" t="s">
        <v>24</v>
      </c>
      <c r="G237" t="s">
        <v>25</v>
      </c>
      <c r="H237" t="s">
        <v>26</v>
      </c>
      <c r="I237" t="s">
        <v>27</v>
      </c>
      <c r="J237" t="s">
        <v>27</v>
      </c>
      <c r="K237" t="s">
        <v>293</v>
      </c>
      <c r="L237" s="2" t="s">
        <v>96</v>
      </c>
      <c r="M237" s="8" t="s">
        <v>97</v>
      </c>
      <c r="N237" s="7">
        <v>1.63</v>
      </c>
      <c r="O237" s="2">
        <v>1</v>
      </c>
      <c r="P237" s="7">
        <v>1.63</v>
      </c>
      <c r="Q237" s="7">
        <v>0</v>
      </c>
      <c r="R237" s="7">
        <v>0.25</v>
      </c>
      <c r="S237" s="7">
        <v>1.56</v>
      </c>
      <c r="T237" s="7">
        <v>1.88</v>
      </c>
      <c r="U237">
        <v>3</v>
      </c>
      <c r="V237">
        <v>3</v>
      </c>
    </row>
    <row r="238" spans="1:22">
      <c r="A238">
        <v>234</v>
      </c>
      <c r="B238" s="4">
        <v>46295.775601851848</v>
      </c>
      <c r="C238" s="5">
        <v>46295</v>
      </c>
      <c r="D238" s="6">
        <v>2.7755902777777779</v>
      </c>
      <c r="E238" s="5">
        <v>46295</v>
      </c>
      <c r="F238" t="s">
        <v>24</v>
      </c>
      <c r="G238" t="s">
        <v>25</v>
      </c>
      <c r="H238" t="s">
        <v>26</v>
      </c>
      <c r="I238" t="s">
        <v>27</v>
      </c>
      <c r="J238" t="s">
        <v>27</v>
      </c>
      <c r="K238" t="s">
        <v>294</v>
      </c>
      <c r="L238" s="2" t="s">
        <v>47</v>
      </c>
      <c r="M238" s="8" t="s">
        <v>48</v>
      </c>
      <c r="N238" s="7">
        <v>0.05</v>
      </c>
      <c r="O238" s="2">
        <v>3</v>
      </c>
      <c r="P238" s="7">
        <v>0.15</v>
      </c>
      <c r="Q238" s="7">
        <v>0</v>
      </c>
      <c r="R238" s="7">
        <v>0.02</v>
      </c>
      <c r="S238" s="7">
        <v>7.0000000000000007E-2</v>
      </c>
      <c r="T238" s="7">
        <v>0.17</v>
      </c>
      <c r="U238">
        <v>3</v>
      </c>
      <c r="V238">
        <v>3</v>
      </c>
    </row>
    <row r="239" spans="1:22">
      <c r="A239">
        <v>235</v>
      </c>
      <c r="B239" s="4">
        <v>46295.77715277778</v>
      </c>
      <c r="C239" s="5">
        <v>46295</v>
      </c>
      <c r="D239" s="6">
        <v>2.7771527777777778</v>
      </c>
      <c r="E239" s="5">
        <v>46295</v>
      </c>
      <c r="F239" t="s">
        <v>24</v>
      </c>
      <c r="G239" t="s">
        <v>25</v>
      </c>
      <c r="H239" t="s">
        <v>26</v>
      </c>
      <c r="I239" t="s">
        <v>27</v>
      </c>
      <c r="J239" t="s">
        <v>27</v>
      </c>
      <c r="K239" t="s">
        <v>295</v>
      </c>
      <c r="L239" s="2" t="s">
        <v>215</v>
      </c>
      <c r="M239" s="8" t="s">
        <v>216</v>
      </c>
      <c r="N239" s="7">
        <v>0.81</v>
      </c>
      <c r="O239" s="2">
        <v>1</v>
      </c>
      <c r="P239" s="7">
        <v>0.81</v>
      </c>
      <c r="Q239" s="7">
        <v>0</v>
      </c>
      <c r="R239" s="7">
        <v>0.13</v>
      </c>
      <c r="S239" s="7">
        <v>0.78</v>
      </c>
      <c r="T239" s="7">
        <v>0.94</v>
      </c>
      <c r="U239">
        <v>3</v>
      </c>
      <c r="V239">
        <v>3</v>
      </c>
    </row>
    <row r="240" spans="1:22">
      <c r="A240">
        <v>236</v>
      </c>
      <c r="B240" s="4">
        <v>46295.77753472222</v>
      </c>
      <c r="C240" s="5">
        <v>46295</v>
      </c>
      <c r="D240" s="6">
        <v>2.7775347222222222</v>
      </c>
      <c r="E240" s="5">
        <v>46295</v>
      </c>
      <c r="F240" t="s">
        <v>24</v>
      </c>
      <c r="G240" t="s">
        <v>25</v>
      </c>
      <c r="H240" t="s">
        <v>26</v>
      </c>
      <c r="I240" t="s">
        <v>27</v>
      </c>
      <c r="J240" t="s">
        <v>27</v>
      </c>
      <c r="K240" t="s">
        <v>296</v>
      </c>
      <c r="L240" s="2" t="s">
        <v>297</v>
      </c>
      <c r="M240" s="8" t="s">
        <v>298</v>
      </c>
      <c r="N240" s="7">
        <v>1.25</v>
      </c>
      <c r="O240" s="2">
        <v>1</v>
      </c>
      <c r="P240" s="7">
        <v>1.25</v>
      </c>
      <c r="Q240" s="7">
        <v>0</v>
      </c>
      <c r="R240" s="7">
        <v>0</v>
      </c>
      <c r="S240" s="7">
        <v>1.2</v>
      </c>
      <c r="T240" s="7">
        <v>1.25</v>
      </c>
      <c r="U240">
        <v>3</v>
      </c>
      <c r="V240">
        <v>3</v>
      </c>
    </row>
    <row r="241" spans="1:22">
      <c r="A241">
        <v>237</v>
      </c>
      <c r="B241" s="4">
        <v>46295.777696759258</v>
      </c>
      <c r="C241" s="5">
        <v>46295</v>
      </c>
      <c r="D241" s="6">
        <v>2.7776967592592592</v>
      </c>
      <c r="E241" s="5">
        <v>46295</v>
      </c>
      <c r="F241" t="s">
        <v>24</v>
      </c>
      <c r="G241" t="s">
        <v>25</v>
      </c>
      <c r="H241" t="s">
        <v>26</v>
      </c>
      <c r="I241" t="s">
        <v>27</v>
      </c>
      <c r="J241" t="s">
        <v>27</v>
      </c>
      <c r="K241" t="s">
        <v>299</v>
      </c>
      <c r="L241" s="2" t="s">
        <v>100</v>
      </c>
      <c r="M241" s="8" t="s">
        <v>101</v>
      </c>
      <c r="N241" s="7">
        <v>0.81</v>
      </c>
      <c r="O241" s="2">
        <v>1</v>
      </c>
      <c r="P241" s="7">
        <v>0.81</v>
      </c>
      <c r="Q241" s="7">
        <v>0</v>
      </c>
      <c r="R241" s="7">
        <v>0.13</v>
      </c>
      <c r="S241" s="7">
        <v>0.39</v>
      </c>
      <c r="T241" s="7">
        <v>0.94</v>
      </c>
      <c r="U241">
        <v>3</v>
      </c>
      <c r="V241">
        <v>3</v>
      </c>
    </row>
    <row r="242" spans="1:22">
      <c r="A242">
        <v>238</v>
      </c>
      <c r="B242" s="4">
        <v>46295.800254629627</v>
      </c>
      <c r="C242" s="5">
        <v>46295</v>
      </c>
      <c r="D242" s="6">
        <v>2.8002546296296296</v>
      </c>
      <c r="E242" s="5">
        <v>46295</v>
      </c>
      <c r="F242" t="s">
        <v>24</v>
      </c>
      <c r="G242" t="s">
        <v>25</v>
      </c>
      <c r="H242" t="s">
        <v>26</v>
      </c>
      <c r="I242" t="s">
        <v>27</v>
      </c>
      <c r="J242" t="s">
        <v>27</v>
      </c>
      <c r="K242" t="s">
        <v>300</v>
      </c>
      <c r="L242" s="2" t="s">
        <v>168</v>
      </c>
      <c r="M242" s="8" t="s">
        <v>169</v>
      </c>
      <c r="N242" s="7">
        <v>1.63</v>
      </c>
      <c r="O242" s="2">
        <v>1</v>
      </c>
      <c r="P242" s="7">
        <v>1.63</v>
      </c>
      <c r="Q242" s="7">
        <v>0</v>
      </c>
      <c r="R242" s="7">
        <v>0.25</v>
      </c>
      <c r="S242" s="7">
        <v>1.58</v>
      </c>
      <c r="T242" s="7">
        <v>1.88</v>
      </c>
      <c r="U242">
        <v>3</v>
      </c>
      <c r="V242">
        <v>3</v>
      </c>
    </row>
    <row r="243" spans="1:22">
      <c r="A243">
        <v>239</v>
      </c>
      <c r="B243" s="4">
        <v>46295.807071759256</v>
      </c>
      <c r="C243" s="5">
        <v>46295</v>
      </c>
      <c r="D243" s="6">
        <v>2.8070601851851853</v>
      </c>
      <c r="E243" s="5">
        <v>46295</v>
      </c>
      <c r="F243" t="s">
        <v>24</v>
      </c>
      <c r="G243" t="s">
        <v>25</v>
      </c>
      <c r="H243" t="s">
        <v>26</v>
      </c>
      <c r="I243" t="s">
        <v>27</v>
      </c>
      <c r="J243" t="s">
        <v>27</v>
      </c>
      <c r="K243" t="s">
        <v>301</v>
      </c>
      <c r="L243" s="2" t="s">
        <v>168</v>
      </c>
      <c r="M243" s="8" t="s">
        <v>169</v>
      </c>
      <c r="N243" s="7">
        <v>1.63</v>
      </c>
      <c r="O243" s="2">
        <v>1</v>
      </c>
      <c r="P243" s="7">
        <v>1.63</v>
      </c>
      <c r="Q243" s="7">
        <v>0</v>
      </c>
      <c r="R243" s="7">
        <v>0.25</v>
      </c>
      <c r="S243" s="7">
        <v>1.58</v>
      </c>
      <c r="T243" s="7">
        <v>1.88</v>
      </c>
      <c r="U243">
        <v>3</v>
      </c>
      <c r="V243">
        <v>3</v>
      </c>
    </row>
    <row r="244" spans="1:22">
      <c r="A244">
        <v>240</v>
      </c>
      <c r="B244" s="4">
        <v>46295.813668981478</v>
      </c>
      <c r="C244" s="5">
        <v>46295</v>
      </c>
      <c r="D244" s="6">
        <v>2.8136689814814817</v>
      </c>
      <c r="E244" s="5">
        <v>46295</v>
      </c>
      <c r="F244" t="s">
        <v>24</v>
      </c>
      <c r="G244" t="s">
        <v>25</v>
      </c>
      <c r="H244" t="s">
        <v>26</v>
      </c>
      <c r="I244" t="s">
        <v>27</v>
      </c>
      <c r="J244" t="s">
        <v>27</v>
      </c>
      <c r="K244" t="s">
        <v>302</v>
      </c>
      <c r="L244" s="2" t="s">
        <v>229</v>
      </c>
      <c r="M244" s="8" t="s">
        <v>230</v>
      </c>
      <c r="N244" s="7">
        <v>0.81</v>
      </c>
      <c r="O244" s="2">
        <v>2</v>
      </c>
      <c r="P244" s="7">
        <v>1.62</v>
      </c>
      <c r="Q244" s="7">
        <v>0</v>
      </c>
      <c r="R244" s="7">
        <v>0.25</v>
      </c>
      <c r="S244" s="7">
        <v>1.57</v>
      </c>
      <c r="T244" s="7">
        <v>1.87</v>
      </c>
      <c r="U244">
        <v>3</v>
      </c>
      <c r="V244">
        <v>3</v>
      </c>
    </row>
    <row r="245" spans="1:22">
      <c r="A245">
        <v>241</v>
      </c>
      <c r="B245" s="4">
        <v>46295.834386574075</v>
      </c>
      <c r="C245" s="5">
        <v>46295</v>
      </c>
      <c r="D245" s="6">
        <v>2.8343865740740739</v>
      </c>
      <c r="E245" s="5">
        <v>46295</v>
      </c>
      <c r="F245" t="s">
        <v>164</v>
      </c>
      <c r="G245" t="s">
        <v>165</v>
      </c>
      <c r="H245" t="s">
        <v>26</v>
      </c>
      <c r="I245" t="s">
        <v>27</v>
      </c>
      <c r="J245" t="s">
        <v>27</v>
      </c>
      <c r="K245" t="s">
        <v>303</v>
      </c>
      <c r="L245" s="2" t="s">
        <v>109</v>
      </c>
      <c r="M245" s="8" t="s">
        <v>110</v>
      </c>
      <c r="N245" s="7">
        <v>1.08</v>
      </c>
      <c r="O245" s="2">
        <v>1</v>
      </c>
      <c r="P245" s="7">
        <v>1.08</v>
      </c>
      <c r="Q245" s="7">
        <v>0</v>
      </c>
      <c r="R245" s="7">
        <v>0.17</v>
      </c>
      <c r="S245" s="7">
        <v>0.26</v>
      </c>
      <c r="T245" s="7">
        <v>1.25</v>
      </c>
      <c r="U245">
        <v>3</v>
      </c>
      <c r="V245">
        <v>3</v>
      </c>
    </row>
    <row r="246" spans="1:22">
      <c r="A246">
        <v>242</v>
      </c>
      <c r="B246" s="4">
        <v>46295.834386574075</v>
      </c>
      <c r="C246" s="5">
        <v>46295</v>
      </c>
      <c r="D246" s="6">
        <v>2.8344097222222224</v>
      </c>
      <c r="E246" s="5">
        <v>46295</v>
      </c>
      <c r="F246" t="s">
        <v>164</v>
      </c>
      <c r="G246" t="s">
        <v>165</v>
      </c>
      <c r="H246" t="s">
        <v>26</v>
      </c>
      <c r="I246" t="s">
        <v>27</v>
      </c>
      <c r="J246" t="s">
        <v>27</v>
      </c>
      <c r="K246" t="s">
        <v>303</v>
      </c>
      <c r="L246" s="2" t="s">
        <v>109</v>
      </c>
      <c r="M246" s="8" t="s">
        <v>110</v>
      </c>
      <c r="N246" s="7">
        <v>1.08</v>
      </c>
      <c r="O246" s="2">
        <v>1</v>
      </c>
      <c r="P246" s="7">
        <v>1.08</v>
      </c>
      <c r="Q246" s="7">
        <v>0</v>
      </c>
      <c r="R246" s="7">
        <v>0.17</v>
      </c>
      <c r="S246" s="7">
        <v>0.26</v>
      </c>
      <c r="T246" s="7">
        <v>1.25</v>
      </c>
      <c r="U246">
        <v>3</v>
      </c>
      <c r="V246">
        <v>3</v>
      </c>
    </row>
    <row r="247" spans="1:22">
      <c r="A247">
        <v>243</v>
      </c>
      <c r="B247" s="4">
        <v>46295.834386574075</v>
      </c>
      <c r="C247" s="5">
        <v>46295</v>
      </c>
      <c r="D247" s="6">
        <v>2.8344328703703705</v>
      </c>
      <c r="E247" s="5">
        <v>46295</v>
      </c>
      <c r="F247" t="s">
        <v>164</v>
      </c>
      <c r="G247" t="s">
        <v>165</v>
      </c>
      <c r="H247" t="s">
        <v>26</v>
      </c>
      <c r="I247" t="s">
        <v>27</v>
      </c>
      <c r="J247" t="s">
        <v>27</v>
      </c>
      <c r="K247" t="s">
        <v>303</v>
      </c>
      <c r="L247" s="2" t="s">
        <v>109</v>
      </c>
      <c r="M247" s="8" t="s">
        <v>110</v>
      </c>
      <c r="N247" s="7">
        <v>1.08</v>
      </c>
      <c r="O247" s="2">
        <v>1</v>
      </c>
      <c r="P247" s="7">
        <v>1.08</v>
      </c>
      <c r="Q247" s="7">
        <v>0</v>
      </c>
      <c r="R247" s="7">
        <v>0.17</v>
      </c>
      <c r="S247" s="7">
        <v>0.26</v>
      </c>
      <c r="T247" s="7">
        <v>1.25</v>
      </c>
      <c r="U247">
        <v>3</v>
      </c>
      <c r="V247">
        <v>3</v>
      </c>
    </row>
    <row r="248" spans="1:22">
      <c r="A248">
        <v>244</v>
      </c>
      <c r="B248" s="4">
        <v>46295.834386574075</v>
      </c>
      <c r="C248" s="5">
        <v>46295</v>
      </c>
      <c r="D248" s="6">
        <v>2.8344560185185186</v>
      </c>
      <c r="E248" s="5">
        <v>46295</v>
      </c>
      <c r="F248" t="s">
        <v>164</v>
      </c>
      <c r="G248" t="s">
        <v>165</v>
      </c>
      <c r="H248" t="s">
        <v>26</v>
      </c>
      <c r="I248" t="s">
        <v>27</v>
      </c>
      <c r="J248" t="s">
        <v>27</v>
      </c>
      <c r="K248" t="s">
        <v>303</v>
      </c>
      <c r="L248" s="2" t="s">
        <v>109</v>
      </c>
      <c r="M248" s="8" t="s">
        <v>110</v>
      </c>
      <c r="N248" s="7">
        <v>1.08</v>
      </c>
      <c r="O248" s="2">
        <v>1</v>
      </c>
      <c r="P248" s="7">
        <v>1.08</v>
      </c>
      <c r="Q248" s="7">
        <v>0</v>
      </c>
      <c r="R248" s="7">
        <v>0.17</v>
      </c>
      <c r="S248" s="7">
        <v>0.26</v>
      </c>
      <c r="T248" s="7">
        <v>1.25</v>
      </c>
      <c r="U248">
        <v>3</v>
      </c>
      <c r="V248">
        <v>3</v>
      </c>
    </row>
    <row r="249" spans="1:22">
      <c r="A249">
        <v>245</v>
      </c>
      <c r="B249" s="4">
        <v>46295.838819444441</v>
      </c>
      <c r="C249" s="5">
        <v>46295</v>
      </c>
      <c r="D249" s="6">
        <v>2.8388078703703705</v>
      </c>
      <c r="E249" s="5">
        <v>46295</v>
      </c>
      <c r="F249" t="s">
        <v>164</v>
      </c>
      <c r="G249" t="s">
        <v>165</v>
      </c>
      <c r="H249" t="s">
        <v>26</v>
      </c>
      <c r="I249" t="s">
        <v>27</v>
      </c>
      <c r="J249" t="s">
        <v>27</v>
      </c>
      <c r="K249" t="s">
        <v>304</v>
      </c>
      <c r="L249" s="2" t="s">
        <v>63</v>
      </c>
      <c r="M249" s="8" t="s">
        <v>64</v>
      </c>
      <c r="N249" s="7">
        <v>1.9</v>
      </c>
      <c r="O249" s="2">
        <v>1</v>
      </c>
      <c r="P249" s="7">
        <v>1.9</v>
      </c>
      <c r="Q249" s="7">
        <v>0</v>
      </c>
      <c r="R249" s="7">
        <v>0.28999999999999998</v>
      </c>
      <c r="S249" s="7">
        <v>1.83</v>
      </c>
      <c r="T249" s="7">
        <v>2.19</v>
      </c>
      <c r="U249">
        <v>3</v>
      </c>
      <c r="V249">
        <v>3</v>
      </c>
    </row>
    <row r="250" spans="1:22">
      <c r="A250">
        <v>246</v>
      </c>
      <c r="B250" s="4">
        <v>46295.838819444441</v>
      </c>
      <c r="C250" s="5">
        <v>46295</v>
      </c>
      <c r="D250" s="6">
        <v>2.838888888888889</v>
      </c>
      <c r="E250" s="5">
        <v>46295</v>
      </c>
      <c r="F250" t="s">
        <v>164</v>
      </c>
      <c r="G250" t="s">
        <v>165</v>
      </c>
      <c r="H250" t="s">
        <v>26</v>
      </c>
      <c r="I250" t="s">
        <v>27</v>
      </c>
      <c r="J250" t="s">
        <v>27</v>
      </c>
      <c r="K250" t="s">
        <v>304</v>
      </c>
      <c r="L250" s="2" t="s">
        <v>146</v>
      </c>
      <c r="M250" s="8" t="s">
        <v>147</v>
      </c>
      <c r="N250" s="7">
        <v>2.16</v>
      </c>
      <c r="O250" s="2">
        <v>1</v>
      </c>
      <c r="P250" s="7">
        <v>2.16</v>
      </c>
      <c r="Q250" s="7">
        <v>0</v>
      </c>
      <c r="R250" s="7">
        <v>0.34</v>
      </c>
      <c r="S250" s="7">
        <v>2.09</v>
      </c>
      <c r="T250" s="7">
        <v>2.5</v>
      </c>
      <c r="U250">
        <v>3</v>
      </c>
      <c r="V250">
        <v>3</v>
      </c>
    </row>
    <row r="251" spans="1:22">
      <c r="A251">
        <v>247</v>
      </c>
      <c r="B251" s="4">
        <v>46295.838819444441</v>
      </c>
      <c r="C251" s="5">
        <v>46295</v>
      </c>
      <c r="D251" s="6">
        <v>2.8390277777777779</v>
      </c>
      <c r="E251" s="5">
        <v>46295</v>
      </c>
      <c r="F251" t="s">
        <v>164</v>
      </c>
      <c r="G251" t="s">
        <v>165</v>
      </c>
      <c r="H251" t="s">
        <v>26</v>
      </c>
      <c r="I251" t="s">
        <v>27</v>
      </c>
      <c r="J251" t="s">
        <v>27</v>
      </c>
      <c r="K251" t="s">
        <v>304</v>
      </c>
      <c r="L251" s="2" t="s">
        <v>100</v>
      </c>
      <c r="M251" s="8" t="s">
        <v>101</v>
      </c>
      <c r="N251" s="7">
        <v>0.81</v>
      </c>
      <c r="O251" s="2">
        <v>1</v>
      </c>
      <c r="P251" s="7">
        <v>0.81</v>
      </c>
      <c r="Q251" s="7">
        <v>0</v>
      </c>
      <c r="R251" s="7">
        <v>0.13</v>
      </c>
      <c r="S251" s="7">
        <v>0.39</v>
      </c>
      <c r="T251" s="7">
        <v>0.94</v>
      </c>
      <c r="U251">
        <v>3</v>
      </c>
      <c r="V251">
        <v>3</v>
      </c>
    </row>
    <row r="252" spans="1:22">
      <c r="A252">
        <v>248</v>
      </c>
      <c r="B252" s="4">
        <v>46295.838819444441</v>
      </c>
      <c r="C252" s="5">
        <v>46295</v>
      </c>
      <c r="D252" s="6">
        <v>2.8392245370370373</v>
      </c>
      <c r="E252" s="5">
        <v>46295</v>
      </c>
      <c r="F252" t="s">
        <v>164</v>
      </c>
      <c r="G252" t="s">
        <v>165</v>
      </c>
      <c r="H252" t="s">
        <v>26</v>
      </c>
      <c r="I252" t="s">
        <v>27</v>
      </c>
      <c r="J252" t="s">
        <v>27</v>
      </c>
      <c r="K252" t="s">
        <v>304</v>
      </c>
      <c r="L252" s="2" t="s">
        <v>172</v>
      </c>
      <c r="M252" s="8" t="s">
        <v>173</v>
      </c>
      <c r="N252" s="7">
        <v>2.16</v>
      </c>
      <c r="O252" s="2">
        <v>1</v>
      </c>
      <c r="P252" s="7">
        <v>2.16</v>
      </c>
      <c r="Q252" s="7">
        <v>0</v>
      </c>
      <c r="R252" s="7">
        <v>0.34</v>
      </c>
      <c r="S252" s="7">
        <v>2.08</v>
      </c>
      <c r="T252" s="7">
        <v>2.5</v>
      </c>
      <c r="U252">
        <v>3</v>
      </c>
      <c r="V252">
        <v>3</v>
      </c>
    </row>
    <row r="253" spans="1:22">
      <c r="A253">
        <v>249</v>
      </c>
      <c r="B253" s="4">
        <v>46295.838819444441</v>
      </c>
      <c r="C253" s="5">
        <v>46295</v>
      </c>
      <c r="D253" s="6">
        <v>2.8398379629629629</v>
      </c>
      <c r="E253" s="5">
        <v>46295</v>
      </c>
      <c r="F253" t="s">
        <v>164</v>
      </c>
      <c r="G253" t="s">
        <v>165</v>
      </c>
      <c r="H253" t="s">
        <v>26</v>
      </c>
      <c r="I253" t="s">
        <v>27</v>
      </c>
      <c r="J253" t="s">
        <v>27</v>
      </c>
      <c r="K253" t="s">
        <v>304</v>
      </c>
      <c r="L253" s="2" t="s">
        <v>88</v>
      </c>
      <c r="M253" s="8" t="s">
        <v>89</v>
      </c>
      <c r="N253" s="7">
        <v>0.81</v>
      </c>
      <c r="O253" s="2">
        <v>1</v>
      </c>
      <c r="P253" s="7">
        <v>0.81</v>
      </c>
      <c r="Q253" s="7">
        <v>0</v>
      </c>
      <c r="R253" s="7">
        <v>0.13</v>
      </c>
      <c r="S253" s="7">
        <v>0.79</v>
      </c>
      <c r="T253" s="7">
        <v>0.94</v>
      </c>
      <c r="U253">
        <v>3</v>
      </c>
      <c r="V253">
        <v>3</v>
      </c>
    </row>
    <row r="254" spans="1:22">
      <c r="A254">
        <v>250</v>
      </c>
      <c r="B254" s="4">
        <v>46295.838819444441</v>
      </c>
      <c r="C254" s="5">
        <v>46295</v>
      </c>
      <c r="D254" s="6">
        <v>2.8398611111111109</v>
      </c>
      <c r="E254" s="5">
        <v>46295</v>
      </c>
      <c r="F254" t="s">
        <v>164</v>
      </c>
      <c r="G254" t="s">
        <v>165</v>
      </c>
      <c r="H254" t="s">
        <v>26</v>
      </c>
      <c r="I254" t="s">
        <v>27</v>
      </c>
      <c r="J254" t="s">
        <v>27</v>
      </c>
      <c r="K254" t="s">
        <v>304</v>
      </c>
      <c r="L254" s="2" t="s">
        <v>88</v>
      </c>
      <c r="M254" s="8" t="s">
        <v>89</v>
      </c>
      <c r="N254" s="7">
        <v>0.81</v>
      </c>
      <c r="O254" s="2">
        <v>1</v>
      </c>
      <c r="P254" s="7">
        <v>0.81</v>
      </c>
      <c r="Q254" s="7">
        <v>0</v>
      </c>
      <c r="R254" s="7">
        <v>0.13</v>
      </c>
      <c r="S254" s="7">
        <v>0.79</v>
      </c>
      <c r="T254" s="7">
        <v>0.94</v>
      </c>
      <c r="U254">
        <v>3</v>
      </c>
      <c r="V254">
        <v>3</v>
      </c>
    </row>
    <row r="255" spans="1:22">
      <c r="A255">
        <v>251</v>
      </c>
      <c r="B255" s="4">
        <v>46295.863611111112</v>
      </c>
      <c r="C255" s="5">
        <v>46295</v>
      </c>
      <c r="D255" s="6">
        <v>2.8636111111111111</v>
      </c>
      <c r="E255" s="5">
        <v>46295</v>
      </c>
      <c r="F255" t="s">
        <v>164</v>
      </c>
      <c r="G255" t="s">
        <v>165</v>
      </c>
      <c r="H255" t="s">
        <v>26</v>
      </c>
      <c r="I255" t="s">
        <v>27</v>
      </c>
      <c r="J255" t="s">
        <v>27</v>
      </c>
      <c r="K255" t="s">
        <v>305</v>
      </c>
      <c r="L255" s="2" t="s">
        <v>96</v>
      </c>
      <c r="M255" s="8" t="s">
        <v>97</v>
      </c>
      <c r="N255" s="7">
        <v>1.63</v>
      </c>
      <c r="O255" s="2">
        <v>1</v>
      </c>
      <c r="P255" s="7">
        <v>1.63</v>
      </c>
      <c r="Q255" s="7">
        <v>0</v>
      </c>
      <c r="R255" s="7">
        <v>0.25</v>
      </c>
      <c r="S255" s="7">
        <v>1.56</v>
      </c>
      <c r="T255" s="7">
        <v>1.88</v>
      </c>
      <c r="U255">
        <v>3</v>
      </c>
      <c r="V255">
        <v>3</v>
      </c>
    </row>
    <row r="256" spans="1:22">
      <c r="A256">
        <v>252</v>
      </c>
      <c r="B256" s="4">
        <v>46295.866064814814</v>
      </c>
      <c r="C256" s="5">
        <v>46295</v>
      </c>
      <c r="D256" s="6">
        <v>2.8678703703703703</v>
      </c>
      <c r="E256" s="5">
        <v>46295</v>
      </c>
      <c r="F256" t="s">
        <v>164</v>
      </c>
      <c r="G256" t="s">
        <v>165</v>
      </c>
      <c r="H256" t="s">
        <v>26</v>
      </c>
      <c r="I256" t="s">
        <v>27</v>
      </c>
      <c r="J256" t="s">
        <v>27</v>
      </c>
      <c r="K256" t="s">
        <v>306</v>
      </c>
      <c r="L256" s="2" t="s">
        <v>172</v>
      </c>
      <c r="M256" s="8" t="s">
        <v>173</v>
      </c>
      <c r="N256" s="7">
        <v>2.16</v>
      </c>
      <c r="O256" s="2">
        <v>1</v>
      </c>
      <c r="P256" s="7">
        <v>2.16</v>
      </c>
      <c r="Q256" s="7">
        <v>0</v>
      </c>
      <c r="R256" s="7">
        <v>0.34</v>
      </c>
      <c r="S256" s="7">
        <v>2.08</v>
      </c>
      <c r="T256" s="7">
        <v>2.5</v>
      </c>
      <c r="U256">
        <v>3</v>
      </c>
      <c r="V256">
        <v>3</v>
      </c>
    </row>
    <row r="257" spans="1:22">
      <c r="A257">
        <v>253</v>
      </c>
      <c r="B257" s="4">
        <v>46295.866064814814</v>
      </c>
      <c r="C257" s="5">
        <v>46295</v>
      </c>
      <c r="D257" s="6">
        <v>2.8678703703703703</v>
      </c>
      <c r="E257" s="5">
        <v>46295</v>
      </c>
      <c r="F257" t="s">
        <v>164</v>
      </c>
      <c r="G257" t="s">
        <v>165</v>
      </c>
      <c r="H257" t="s">
        <v>26</v>
      </c>
      <c r="I257" t="s">
        <v>27</v>
      </c>
      <c r="J257" t="s">
        <v>27</v>
      </c>
      <c r="K257" t="s">
        <v>306</v>
      </c>
      <c r="L257" s="2" t="s">
        <v>146</v>
      </c>
      <c r="M257" s="8" t="s">
        <v>147</v>
      </c>
      <c r="N257" s="7">
        <v>2.16</v>
      </c>
      <c r="O257" s="2">
        <v>1</v>
      </c>
      <c r="P257" s="7">
        <v>2.16</v>
      </c>
      <c r="Q257" s="7">
        <v>0</v>
      </c>
      <c r="R257" s="7">
        <v>0.34</v>
      </c>
      <c r="S257" s="7">
        <v>2.09</v>
      </c>
      <c r="T257" s="7">
        <v>2.5</v>
      </c>
      <c r="U257">
        <v>3</v>
      </c>
      <c r="V257">
        <v>3</v>
      </c>
    </row>
    <row r="258" spans="1:22">
      <c r="A258">
        <v>254</v>
      </c>
      <c r="B258" s="4">
        <v>46295.871041666665</v>
      </c>
      <c r="C258" s="5">
        <v>46295</v>
      </c>
      <c r="D258" s="6">
        <v>2.8710416666666667</v>
      </c>
      <c r="E258" s="5">
        <v>46295</v>
      </c>
      <c r="F258" t="s">
        <v>164</v>
      </c>
      <c r="G258" t="s">
        <v>165</v>
      </c>
      <c r="H258" t="s">
        <v>26</v>
      </c>
      <c r="I258" t="s">
        <v>27</v>
      </c>
      <c r="J258" t="s">
        <v>27</v>
      </c>
      <c r="K258" t="s">
        <v>307</v>
      </c>
      <c r="L258" s="2" t="s">
        <v>127</v>
      </c>
      <c r="M258" s="8" t="s">
        <v>128</v>
      </c>
      <c r="N258" s="7">
        <v>2.16</v>
      </c>
      <c r="O258" s="2">
        <v>1</v>
      </c>
      <c r="P258" s="7">
        <v>2.16</v>
      </c>
      <c r="Q258" s="7">
        <v>0</v>
      </c>
      <c r="R258" s="7">
        <v>0.34</v>
      </c>
      <c r="S258" s="7">
        <v>2.09</v>
      </c>
      <c r="T258" s="7">
        <v>2.5</v>
      </c>
      <c r="U258">
        <v>3</v>
      </c>
      <c r="V258">
        <v>3</v>
      </c>
    </row>
    <row r="259" spans="1:22">
      <c r="A259">
        <v>255</v>
      </c>
      <c r="B259" s="4">
        <v>46295.871041666665</v>
      </c>
      <c r="C259" s="5">
        <v>46295</v>
      </c>
      <c r="D259" s="6">
        <v>2.8710763888888891</v>
      </c>
      <c r="E259" s="5">
        <v>46295</v>
      </c>
      <c r="F259" t="s">
        <v>164</v>
      </c>
      <c r="G259" t="s">
        <v>165</v>
      </c>
      <c r="H259" t="s">
        <v>26</v>
      </c>
      <c r="I259" t="s">
        <v>27</v>
      </c>
      <c r="J259" t="s">
        <v>27</v>
      </c>
      <c r="K259" t="s">
        <v>307</v>
      </c>
      <c r="L259" s="2" t="s">
        <v>88</v>
      </c>
      <c r="M259" s="8" t="s">
        <v>89</v>
      </c>
      <c r="N259" s="7">
        <v>0.81</v>
      </c>
      <c r="O259" s="2">
        <v>1</v>
      </c>
      <c r="P259" s="7">
        <v>0.81</v>
      </c>
      <c r="Q259" s="7">
        <v>0</v>
      </c>
      <c r="R259" s="7">
        <v>0.13</v>
      </c>
      <c r="S259" s="7">
        <v>0.79</v>
      </c>
      <c r="T259" s="7">
        <v>0.94</v>
      </c>
      <c r="U259">
        <v>3</v>
      </c>
      <c r="V259">
        <v>3</v>
      </c>
    </row>
    <row r="260" spans="1:22">
      <c r="A260">
        <v>256</v>
      </c>
      <c r="B260" s="4">
        <v>46295.872013888889</v>
      </c>
      <c r="C260" s="5">
        <v>46295</v>
      </c>
      <c r="D260" s="6">
        <v>2.8720023148148148</v>
      </c>
      <c r="E260" s="5">
        <v>46295</v>
      </c>
      <c r="F260" t="s">
        <v>164</v>
      </c>
      <c r="G260" t="s">
        <v>165</v>
      </c>
      <c r="H260" t="s">
        <v>26</v>
      </c>
      <c r="I260" t="s">
        <v>27</v>
      </c>
      <c r="J260" t="s">
        <v>27</v>
      </c>
      <c r="K260" t="s">
        <v>308</v>
      </c>
      <c r="L260" s="2" t="s">
        <v>56</v>
      </c>
      <c r="M260" s="8" t="s">
        <v>57</v>
      </c>
      <c r="N260" s="7">
        <v>0.27</v>
      </c>
      <c r="O260" s="2">
        <v>1</v>
      </c>
      <c r="P260" s="7">
        <v>0.27</v>
      </c>
      <c r="Q260" s="7">
        <v>0</v>
      </c>
      <c r="R260" s="7">
        <v>0.04</v>
      </c>
      <c r="S260" s="7">
        <v>0.19</v>
      </c>
      <c r="T260" s="7">
        <v>0.31</v>
      </c>
      <c r="U260">
        <v>3</v>
      </c>
      <c r="V260">
        <v>3</v>
      </c>
    </row>
    <row r="261" spans="1:22">
      <c r="A261">
        <v>257</v>
      </c>
      <c r="B261" s="4">
        <v>46295.872013888889</v>
      </c>
      <c r="C261" s="5">
        <v>46295</v>
      </c>
      <c r="D261" s="6">
        <v>2.872048611111111</v>
      </c>
      <c r="E261" s="5">
        <v>46295</v>
      </c>
      <c r="F261" t="s">
        <v>164</v>
      </c>
      <c r="G261" t="s">
        <v>165</v>
      </c>
      <c r="H261" t="s">
        <v>26</v>
      </c>
      <c r="I261" t="s">
        <v>27</v>
      </c>
      <c r="J261" t="s">
        <v>27</v>
      </c>
      <c r="K261" t="s">
        <v>308</v>
      </c>
      <c r="L261" s="2" t="s">
        <v>56</v>
      </c>
      <c r="M261" s="8" t="s">
        <v>57</v>
      </c>
      <c r="N261" s="7">
        <v>0.27</v>
      </c>
      <c r="O261" s="2">
        <v>1</v>
      </c>
      <c r="P261" s="7">
        <v>0.27</v>
      </c>
      <c r="Q261" s="7">
        <v>0</v>
      </c>
      <c r="R261" s="7">
        <v>0.04</v>
      </c>
      <c r="S261" s="7">
        <v>0.19</v>
      </c>
      <c r="T261" s="7">
        <v>0.31</v>
      </c>
      <c r="U261">
        <v>3</v>
      </c>
      <c r="V261">
        <v>3</v>
      </c>
    </row>
    <row r="262" spans="1:22">
      <c r="A262">
        <v>258</v>
      </c>
      <c r="B262" s="4">
        <v>46295.872013888889</v>
      </c>
      <c r="C262" s="5">
        <v>46295</v>
      </c>
      <c r="D262" s="6">
        <v>2.8720717592592591</v>
      </c>
      <c r="E262" s="5">
        <v>46295</v>
      </c>
      <c r="F262" t="s">
        <v>164</v>
      </c>
      <c r="G262" t="s">
        <v>165</v>
      </c>
      <c r="H262" t="s">
        <v>26</v>
      </c>
      <c r="I262" t="s">
        <v>27</v>
      </c>
      <c r="J262" t="s">
        <v>27</v>
      </c>
      <c r="K262" t="s">
        <v>308</v>
      </c>
      <c r="L262" s="2" t="s">
        <v>56</v>
      </c>
      <c r="M262" s="8" t="s">
        <v>57</v>
      </c>
      <c r="N262" s="7">
        <v>0.27</v>
      </c>
      <c r="O262" s="2">
        <v>1</v>
      </c>
      <c r="P262" s="7">
        <v>0.27</v>
      </c>
      <c r="Q262" s="7">
        <v>0</v>
      </c>
      <c r="R262" s="7">
        <v>0.04</v>
      </c>
      <c r="S262" s="7">
        <v>0.19</v>
      </c>
      <c r="T262" s="7">
        <v>0.31</v>
      </c>
      <c r="U262">
        <v>3</v>
      </c>
      <c r="V262">
        <v>3</v>
      </c>
    </row>
    <row r="263" spans="1:22">
      <c r="A263">
        <v>259</v>
      </c>
      <c r="B263" s="4">
        <v>46295.872013888889</v>
      </c>
      <c r="C263" s="5">
        <v>46295</v>
      </c>
      <c r="D263" s="6">
        <v>2.8720833333333333</v>
      </c>
      <c r="E263" s="5">
        <v>46295</v>
      </c>
      <c r="F263" t="s">
        <v>164</v>
      </c>
      <c r="G263" t="s">
        <v>165</v>
      </c>
      <c r="H263" t="s">
        <v>26</v>
      </c>
      <c r="I263" t="s">
        <v>27</v>
      </c>
      <c r="J263" t="s">
        <v>27</v>
      </c>
      <c r="K263" t="s">
        <v>308</v>
      </c>
      <c r="L263" s="2" t="s">
        <v>56</v>
      </c>
      <c r="M263" s="8" t="s">
        <v>57</v>
      </c>
      <c r="N263" s="7">
        <v>0.27</v>
      </c>
      <c r="O263" s="2">
        <v>1</v>
      </c>
      <c r="P263" s="7">
        <v>0.27</v>
      </c>
      <c r="Q263" s="7">
        <v>0</v>
      </c>
      <c r="R263" s="7">
        <v>0.04</v>
      </c>
      <c r="S263" s="7">
        <v>0.19</v>
      </c>
      <c r="T263" s="7">
        <v>0.31</v>
      </c>
      <c r="U263">
        <v>3</v>
      </c>
      <c r="V263">
        <v>3</v>
      </c>
    </row>
    <row r="264" spans="1:22">
      <c r="A264">
        <v>260</v>
      </c>
      <c r="B264" s="4">
        <v>46295.878518518519</v>
      </c>
      <c r="C264" s="5">
        <v>46295</v>
      </c>
      <c r="D264" s="6">
        <v>2.8785185185185185</v>
      </c>
      <c r="E264" s="5">
        <v>46295</v>
      </c>
      <c r="F264" t="s">
        <v>164</v>
      </c>
      <c r="G264" t="s">
        <v>165</v>
      </c>
      <c r="H264" t="s">
        <v>26</v>
      </c>
      <c r="I264" t="s">
        <v>27</v>
      </c>
      <c r="J264" t="s">
        <v>27</v>
      </c>
      <c r="K264" t="s">
        <v>309</v>
      </c>
      <c r="L264" s="3" t="s">
        <v>231</v>
      </c>
      <c r="M264" s="8" t="s">
        <v>232</v>
      </c>
      <c r="N264" s="7">
        <v>0.55000000000000004</v>
      </c>
      <c r="O264" s="2">
        <v>1</v>
      </c>
      <c r="P264" s="7">
        <v>0.55000000000000004</v>
      </c>
      <c r="Q264" s="7">
        <v>0</v>
      </c>
      <c r="R264" s="7">
        <v>0.08</v>
      </c>
      <c r="S264" s="7">
        <v>0.54</v>
      </c>
      <c r="T264" s="7">
        <v>0.63</v>
      </c>
      <c r="U264">
        <v>3</v>
      </c>
      <c r="V264">
        <v>3</v>
      </c>
    </row>
    <row r="265" spans="1:22">
      <c r="A265">
        <v>261</v>
      </c>
      <c r="B265" s="4">
        <v>46295.878518518519</v>
      </c>
      <c r="C265" s="5">
        <v>46295</v>
      </c>
      <c r="D265" s="6">
        <v>2.8785648148148146</v>
      </c>
      <c r="E265" s="5">
        <v>46295</v>
      </c>
      <c r="F265" t="s">
        <v>164</v>
      </c>
      <c r="G265" t="s">
        <v>165</v>
      </c>
      <c r="H265" t="s">
        <v>26</v>
      </c>
      <c r="I265" t="s">
        <v>27</v>
      </c>
      <c r="J265" t="s">
        <v>27</v>
      </c>
      <c r="K265" t="s">
        <v>309</v>
      </c>
      <c r="L265" s="3" t="s">
        <v>231</v>
      </c>
      <c r="M265" s="8" t="s">
        <v>232</v>
      </c>
      <c r="N265" s="7">
        <v>0.55000000000000004</v>
      </c>
      <c r="O265" s="2">
        <v>1</v>
      </c>
      <c r="P265" s="7">
        <v>0.55000000000000004</v>
      </c>
      <c r="Q265" s="7">
        <v>0</v>
      </c>
      <c r="R265" s="7">
        <v>0.08</v>
      </c>
      <c r="S265" s="7">
        <v>0.54</v>
      </c>
      <c r="T265" s="7">
        <v>0.63</v>
      </c>
      <c r="U265">
        <v>3</v>
      </c>
      <c r="V265">
        <v>3</v>
      </c>
    </row>
    <row r="266" spans="1:22">
      <c r="A266">
        <v>262</v>
      </c>
      <c r="B266" s="4">
        <v>46295.878518518519</v>
      </c>
      <c r="C266" s="5">
        <v>46295</v>
      </c>
      <c r="D266" s="6">
        <v>2.8786574074074074</v>
      </c>
      <c r="E266" s="5">
        <v>46295</v>
      </c>
      <c r="F266" t="s">
        <v>164</v>
      </c>
      <c r="G266" t="s">
        <v>165</v>
      </c>
      <c r="H266" t="s">
        <v>26</v>
      </c>
      <c r="I266" t="s">
        <v>27</v>
      </c>
      <c r="J266" t="s">
        <v>27</v>
      </c>
      <c r="K266" t="s">
        <v>309</v>
      </c>
      <c r="L266" s="3" t="s">
        <v>231</v>
      </c>
      <c r="M266" s="8" t="s">
        <v>232</v>
      </c>
      <c r="N266" s="7">
        <v>0.55000000000000004</v>
      </c>
      <c r="O266" s="2">
        <v>1</v>
      </c>
      <c r="P266" s="7">
        <v>0.55000000000000004</v>
      </c>
      <c r="Q266" s="7">
        <v>0</v>
      </c>
      <c r="R266" s="7">
        <v>0.08</v>
      </c>
      <c r="S266" s="7">
        <v>0.54</v>
      </c>
      <c r="T266" s="7">
        <v>0.63</v>
      </c>
      <c r="U266">
        <v>3</v>
      </c>
      <c r="V266">
        <v>3</v>
      </c>
    </row>
    <row r="267" spans="1:22">
      <c r="A267">
        <v>263</v>
      </c>
      <c r="B267" s="4">
        <v>46295.892060185186</v>
      </c>
      <c r="C267" s="5">
        <v>46295</v>
      </c>
      <c r="D267" s="6">
        <v>2.8920601851851853</v>
      </c>
      <c r="E267" s="5">
        <v>46295</v>
      </c>
      <c r="F267" t="s">
        <v>164</v>
      </c>
      <c r="G267" t="s">
        <v>165</v>
      </c>
      <c r="H267" t="s">
        <v>26</v>
      </c>
      <c r="I267" t="s">
        <v>27</v>
      </c>
      <c r="J267" t="s">
        <v>27</v>
      </c>
      <c r="K267" t="s">
        <v>310</v>
      </c>
      <c r="L267" s="2" t="s">
        <v>192</v>
      </c>
      <c r="M267" s="8" t="s">
        <v>193</v>
      </c>
      <c r="N267" s="7">
        <v>1.35</v>
      </c>
      <c r="O267" s="2">
        <v>1</v>
      </c>
      <c r="P267" s="7">
        <v>1.35</v>
      </c>
      <c r="Q267" s="7">
        <v>0</v>
      </c>
      <c r="R267" s="7">
        <v>0.21</v>
      </c>
      <c r="S267" s="7">
        <v>1.3</v>
      </c>
      <c r="T267" s="7">
        <v>1.56</v>
      </c>
      <c r="U267">
        <v>3</v>
      </c>
      <c r="V267">
        <v>3</v>
      </c>
    </row>
    <row r="268" spans="1:22">
      <c r="A268">
        <v>264</v>
      </c>
      <c r="B268" s="4">
        <v>46295.892060185186</v>
      </c>
      <c r="C268" s="5">
        <v>46295</v>
      </c>
      <c r="D268" s="6">
        <v>2.892314814814815</v>
      </c>
      <c r="E268" s="5">
        <v>46295</v>
      </c>
      <c r="F268" t="s">
        <v>164</v>
      </c>
      <c r="G268" t="s">
        <v>165</v>
      </c>
      <c r="H268" t="s">
        <v>26</v>
      </c>
      <c r="I268" t="s">
        <v>27</v>
      </c>
      <c r="J268" t="s">
        <v>27</v>
      </c>
      <c r="K268" t="s">
        <v>310</v>
      </c>
      <c r="L268" s="2" t="s">
        <v>311</v>
      </c>
      <c r="M268" s="8" t="s">
        <v>312</v>
      </c>
      <c r="N268" s="7">
        <v>0.55000000000000004</v>
      </c>
      <c r="O268" s="2">
        <v>1</v>
      </c>
      <c r="P268" s="7">
        <v>0.55000000000000004</v>
      </c>
      <c r="Q268" s="7">
        <v>0</v>
      </c>
      <c r="R268" s="7">
        <v>0.08</v>
      </c>
      <c r="S268" s="7">
        <v>0.27</v>
      </c>
      <c r="T268" s="7">
        <v>0.63</v>
      </c>
      <c r="U268">
        <v>3</v>
      </c>
      <c r="V268">
        <v>3</v>
      </c>
    </row>
    <row r="269" spans="1:22">
      <c r="A269">
        <v>265</v>
      </c>
      <c r="B269" s="4">
        <v>46295.892060185186</v>
      </c>
      <c r="C269" s="5">
        <v>46295</v>
      </c>
      <c r="D269" s="6">
        <v>2.8927662037037036</v>
      </c>
      <c r="E269" s="5">
        <v>46295</v>
      </c>
      <c r="F269" t="s">
        <v>164</v>
      </c>
      <c r="G269" t="s">
        <v>165</v>
      </c>
      <c r="H269" t="s">
        <v>26</v>
      </c>
      <c r="I269" t="s">
        <v>27</v>
      </c>
      <c r="J269" t="s">
        <v>27</v>
      </c>
      <c r="K269" t="s">
        <v>310</v>
      </c>
      <c r="L269" s="2" t="s">
        <v>313</v>
      </c>
      <c r="M269" s="8" t="s">
        <v>314</v>
      </c>
      <c r="N269" s="7">
        <v>1.08</v>
      </c>
      <c r="O269" s="2">
        <v>1</v>
      </c>
      <c r="P269" s="7">
        <v>1.08</v>
      </c>
      <c r="Q269" s="7">
        <v>0</v>
      </c>
      <c r="R269" s="7">
        <v>0.17</v>
      </c>
      <c r="S269" s="7">
        <v>0.43</v>
      </c>
      <c r="T269" s="7">
        <v>1.25</v>
      </c>
      <c r="U269">
        <v>3</v>
      </c>
      <c r="V269">
        <v>3</v>
      </c>
    </row>
    <row r="270" spans="1:22">
      <c r="A270">
        <v>266</v>
      </c>
      <c r="B270" s="4">
        <v>46295.911377314813</v>
      </c>
      <c r="C270" s="5">
        <v>46295</v>
      </c>
      <c r="D270" s="6">
        <v>2.911377314814815</v>
      </c>
      <c r="E270" s="5">
        <v>46295</v>
      </c>
      <c r="F270" t="s">
        <v>164</v>
      </c>
      <c r="G270" t="s">
        <v>165</v>
      </c>
      <c r="H270" t="s">
        <v>26</v>
      </c>
      <c r="I270" t="s">
        <v>27</v>
      </c>
      <c r="J270" t="s">
        <v>27</v>
      </c>
      <c r="K270" t="s">
        <v>315</v>
      </c>
      <c r="L270" s="2" t="s">
        <v>113</v>
      </c>
      <c r="M270" s="8" t="s">
        <v>114</v>
      </c>
      <c r="N270" s="7">
        <v>1.08</v>
      </c>
      <c r="O270" s="2">
        <v>1</v>
      </c>
      <c r="P270" s="7">
        <v>1.08</v>
      </c>
      <c r="Q270" s="7">
        <v>0</v>
      </c>
      <c r="R270" s="7">
        <v>0.17</v>
      </c>
      <c r="S270" s="7">
        <v>0.26</v>
      </c>
      <c r="T270" s="7">
        <v>1.25</v>
      </c>
      <c r="U270">
        <v>3</v>
      </c>
      <c r="V270">
        <v>3</v>
      </c>
    </row>
    <row r="271" spans="1:22">
      <c r="A271">
        <v>267</v>
      </c>
      <c r="B271" s="4">
        <v>46295.937581018516</v>
      </c>
      <c r="C271" s="5">
        <v>46295</v>
      </c>
      <c r="D271" s="6">
        <v>2.9375810185185185</v>
      </c>
      <c r="E271" s="5">
        <v>46295</v>
      </c>
      <c r="F271" t="s">
        <v>164</v>
      </c>
      <c r="G271" t="s">
        <v>165</v>
      </c>
      <c r="H271" t="s">
        <v>26</v>
      </c>
      <c r="I271" t="s">
        <v>27</v>
      </c>
      <c r="J271" t="s">
        <v>27</v>
      </c>
      <c r="K271" t="s">
        <v>316</v>
      </c>
      <c r="L271" s="2" t="s">
        <v>35</v>
      </c>
      <c r="M271" s="8" t="s">
        <v>36</v>
      </c>
      <c r="N271" s="7">
        <v>0.81</v>
      </c>
      <c r="O271" s="2">
        <v>1</v>
      </c>
      <c r="P271" s="7">
        <v>0.81</v>
      </c>
      <c r="Q271" s="7">
        <v>0</v>
      </c>
      <c r="R271" s="7">
        <v>0.13</v>
      </c>
      <c r="S271" s="7">
        <v>0.38</v>
      </c>
      <c r="T271" s="7">
        <v>0.94</v>
      </c>
      <c r="U271">
        <v>3</v>
      </c>
      <c r="V271">
        <v>3</v>
      </c>
    </row>
    <row r="272" spans="1:22">
      <c r="A272">
        <v>268</v>
      </c>
      <c r="B272" s="4">
        <v>46295.937581018516</v>
      </c>
      <c r="C272" s="5">
        <v>46295</v>
      </c>
      <c r="D272" s="6">
        <v>2.937662037037037</v>
      </c>
      <c r="E272" s="5">
        <v>46295</v>
      </c>
      <c r="F272" t="s">
        <v>164</v>
      </c>
      <c r="G272" t="s">
        <v>165</v>
      </c>
      <c r="H272" t="s">
        <v>26</v>
      </c>
      <c r="I272" t="s">
        <v>27</v>
      </c>
      <c r="J272" t="s">
        <v>27</v>
      </c>
      <c r="K272" t="s">
        <v>316</v>
      </c>
      <c r="L272" s="2" t="s">
        <v>109</v>
      </c>
      <c r="M272" s="8" t="s">
        <v>110</v>
      </c>
      <c r="N272" s="7">
        <v>1.08</v>
      </c>
      <c r="O272" s="2">
        <v>1</v>
      </c>
      <c r="P272" s="7">
        <v>1.08</v>
      </c>
      <c r="Q272" s="7">
        <v>0</v>
      </c>
      <c r="R272" s="7">
        <v>0.17</v>
      </c>
      <c r="S272" s="7">
        <v>0.26</v>
      </c>
      <c r="T272" s="7">
        <v>1.25</v>
      </c>
      <c r="U272">
        <v>3</v>
      </c>
      <c r="V272">
        <v>3</v>
      </c>
    </row>
    <row r="273" spans="1:22">
      <c r="A273">
        <v>269</v>
      </c>
      <c r="B273" s="4">
        <v>46295.937581018516</v>
      </c>
      <c r="C273" s="5">
        <v>46295</v>
      </c>
      <c r="D273" s="6">
        <v>2.9377314814814817</v>
      </c>
      <c r="E273" s="5">
        <v>46295</v>
      </c>
      <c r="F273" t="s">
        <v>164</v>
      </c>
      <c r="G273" t="s">
        <v>165</v>
      </c>
      <c r="H273" t="s">
        <v>26</v>
      </c>
      <c r="I273" t="s">
        <v>27</v>
      </c>
      <c r="J273" t="s">
        <v>27</v>
      </c>
      <c r="K273" t="s">
        <v>316</v>
      </c>
      <c r="L273" s="2" t="s">
        <v>29</v>
      </c>
      <c r="M273" s="8" t="s">
        <v>30</v>
      </c>
      <c r="N273" s="7">
        <v>0.81</v>
      </c>
      <c r="O273" s="2">
        <v>1</v>
      </c>
      <c r="P273" s="7">
        <v>0.81</v>
      </c>
      <c r="Q273" s="7">
        <v>0</v>
      </c>
      <c r="R273" s="7">
        <v>0.13</v>
      </c>
      <c r="S273" s="7">
        <v>0.43</v>
      </c>
      <c r="T273" s="7">
        <v>0.94</v>
      </c>
      <c r="U273">
        <v>3</v>
      </c>
      <c r="V273">
        <v>3</v>
      </c>
    </row>
    <row r="274" spans="1:22">
      <c r="A274">
        <v>270</v>
      </c>
      <c r="B274" s="4">
        <v>46295.937581018516</v>
      </c>
      <c r="C274" s="5">
        <v>46295</v>
      </c>
      <c r="D274" s="6">
        <v>2.9378009259259259</v>
      </c>
      <c r="E274" s="5">
        <v>46295</v>
      </c>
      <c r="F274" t="s">
        <v>164</v>
      </c>
      <c r="G274" t="s">
        <v>165</v>
      </c>
      <c r="H274" t="s">
        <v>26</v>
      </c>
      <c r="I274" t="s">
        <v>27</v>
      </c>
      <c r="J274" t="s">
        <v>27</v>
      </c>
      <c r="K274" t="s">
        <v>316</v>
      </c>
      <c r="L274" s="2" t="s">
        <v>194</v>
      </c>
      <c r="M274" s="8" t="s">
        <v>195</v>
      </c>
      <c r="N274" s="7">
        <v>1.08</v>
      </c>
      <c r="O274" s="2">
        <v>1</v>
      </c>
      <c r="P274" s="7">
        <v>1.08</v>
      </c>
      <c r="Q274" s="7">
        <v>0</v>
      </c>
      <c r="R274" s="7">
        <v>0.17</v>
      </c>
      <c r="S274" s="7">
        <v>0.43</v>
      </c>
      <c r="T274" s="7">
        <v>1.25</v>
      </c>
      <c r="U274">
        <v>3</v>
      </c>
      <c r="V274">
        <v>3</v>
      </c>
    </row>
    <row r="275" spans="1:22">
      <c r="A275">
        <v>271</v>
      </c>
      <c r="B275" s="4">
        <v>46295.94023148148</v>
      </c>
      <c r="C275" s="5">
        <v>46295</v>
      </c>
      <c r="D275" s="6">
        <v>2.9402199074074074</v>
      </c>
      <c r="E275" s="5">
        <v>46295</v>
      </c>
      <c r="F275" t="s">
        <v>164</v>
      </c>
      <c r="G275" t="s">
        <v>165</v>
      </c>
      <c r="H275" t="s">
        <v>26</v>
      </c>
      <c r="I275" t="s">
        <v>27</v>
      </c>
      <c r="J275" t="s">
        <v>27</v>
      </c>
      <c r="K275" t="s">
        <v>317</v>
      </c>
      <c r="L275" s="2" t="s">
        <v>66</v>
      </c>
      <c r="M275" s="8" t="s">
        <v>67</v>
      </c>
      <c r="N275" s="7">
        <v>2.19</v>
      </c>
      <c r="O275" s="2">
        <v>1</v>
      </c>
      <c r="P275" s="7">
        <v>2.19</v>
      </c>
      <c r="Q275" s="7">
        <v>0</v>
      </c>
      <c r="R275" s="7">
        <v>0</v>
      </c>
      <c r="S275" s="7">
        <v>2.1</v>
      </c>
      <c r="T275" s="7">
        <v>2.19</v>
      </c>
      <c r="U275">
        <v>3</v>
      </c>
      <c r="V275">
        <v>3</v>
      </c>
    </row>
    <row r="276" spans="1:22">
      <c r="A276">
        <v>272</v>
      </c>
      <c r="B276" s="4">
        <v>46295.94023148148</v>
      </c>
      <c r="C276" s="5">
        <v>46295</v>
      </c>
      <c r="D276" s="6">
        <v>2.940289351851852</v>
      </c>
      <c r="E276" s="5">
        <v>46295</v>
      </c>
      <c r="F276" t="s">
        <v>164</v>
      </c>
      <c r="G276" t="s">
        <v>165</v>
      </c>
      <c r="H276" t="s">
        <v>26</v>
      </c>
      <c r="I276" t="s">
        <v>27</v>
      </c>
      <c r="J276" t="s">
        <v>27</v>
      </c>
      <c r="K276" t="s">
        <v>317</v>
      </c>
      <c r="L276" s="2" t="s">
        <v>66</v>
      </c>
      <c r="M276" s="8" t="s">
        <v>67</v>
      </c>
      <c r="N276" s="7">
        <v>2.19</v>
      </c>
      <c r="O276" s="2">
        <v>1</v>
      </c>
      <c r="P276" s="7">
        <v>2.19</v>
      </c>
      <c r="Q276" s="7">
        <v>0</v>
      </c>
      <c r="R276" s="7">
        <v>0</v>
      </c>
      <c r="S276" s="7">
        <v>2.1</v>
      </c>
      <c r="T276" s="7">
        <v>2.19</v>
      </c>
      <c r="U276">
        <v>3</v>
      </c>
      <c r="V276">
        <v>3</v>
      </c>
    </row>
    <row r="277" spans="1:22">
      <c r="A277">
        <v>273</v>
      </c>
      <c r="B277" s="4">
        <v>46295.97314814815</v>
      </c>
      <c r="C277" s="5">
        <v>46295</v>
      </c>
      <c r="D277" s="6">
        <v>2.9731481481481481</v>
      </c>
      <c r="E277" s="5">
        <v>46295</v>
      </c>
      <c r="F277" t="s">
        <v>164</v>
      </c>
      <c r="G277" t="s">
        <v>165</v>
      </c>
      <c r="H277" t="s">
        <v>26</v>
      </c>
      <c r="I277" t="s">
        <v>27</v>
      </c>
      <c r="J277" t="s">
        <v>27</v>
      </c>
      <c r="K277" t="s">
        <v>318</v>
      </c>
      <c r="L277" s="2" t="s">
        <v>43</v>
      </c>
      <c r="M277" s="8" t="s">
        <v>44</v>
      </c>
      <c r="N277" s="7">
        <v>2.19</v>
      </c>
      <c r="O277" s="2">
        <v>1</v>
      </c>
      <c r="P277" s="7">
        <v>2.19</v>
      </c>
      <c r="Q277" s="7">
        <v>0</v>
      </c>
      <c r="R277" s="7">
        <v>0</v>
      </c>
      <c r="S277" s="7">
        <v>0.56999999999999995</v>
      </c>
      <c r="T277" s="7">
        <v>2.19</v>
      </c>
      <c r="U277">
        <v>4</v>
      </c>
      <c r="V277">
        <v>4</v>
      </c>
    </row>
    <row r="278" spans="1:22">
      <c r="A278">
        <v>274</v>
      </c>
      <c r="B278" s="4">
        <v>46295.97314814815</v>
      </c>
      <c r="C278" s="5">
        <v>46295</v>
      </c>
      <c r="D278" s="6">
        <v>2.9731944444444443</v>
      </c>
      <c r="E278" s="5">
        <v>46295</v>
      </c>
      <c r="F278" t="s">
        <v>164</v>
      </c>
      <c r="G278" t="s">
        <v>165</v>
      </c>
      <c r="H278" t="s">
        <v>26</v>
      </c>
      <c r="I278" t="s">
        <v>27</v>
      </c>
      <c r="J278" t="s">
        <v>27</v>
      </c>
      <c r="K278" t="s">
        <v>318</v>
      </c>
      <c r="L278" s="2" t="s">
        <v>43</v>
      </c>
      <c r="M278" s="8" t="s">
        <v>44</v>
      </c>
      <c r="N278" s="7">
        <v>2.19</v>
      </c>
      <c r="O278" s="2">
        <v>1</v>
      </c>
      <c r="P278" s="7">
        <v>2.19</v>
      </c>
      <c r="Q278" s="7">
        <v>0</v>
      </c>
      <c r="R278" s="7">
        <v>0</v>
      </c>
      <c r="S278" s="7">
        <v>0.56999999999999995</v>
      </c>
      <c r="T278" s="7">
        <v>2.19</v>
      </c>
      <c r="U278">
        <v>4</v>
      </c>
      <c r="V278">
        <v>4</v>
      </c>
    </row>
    <row r="279" spans="1:22">
      <c r="A279">
        <v>275</v>
      </c>
      <c r="B279" s="4">
        <v>46295.97314814815</v>
      </c>
      <c r="C279" s="5">
        <v>46295</v>
      </c>
      <c r="D279" s="6">
        <v>2.9735532407407406</v>
      </c>
      <c r="E279" s="5">
        <v>46295</v>
      </c>
      <c r="F279" t="s">
        <v>164</v>
      </c>
      <c r="G279" t="s">
        <v>165</v>
      </c>
      <c r="H279" t="s">
        <v>26</v>
      </c>
      <c r="I279" t="s">
        <v>27</v>
      </c>
      <c r="J279" t="s">
        <v>27</v>
      </c>
      <c r="K279" t="s">
        <v>318</v>
      </c>
      <c r="L279" s="2" t="s">
        <v>226</v>
      </c>
      <c r="M279" s="8" t="s">
        <v>227</v>
      </c>
      <c r="N279" s="7">
        <v>4.33</v>
      </c>
      <c r="O279" s="2">
        <v>1</v>
      </c>
      <c r="P279" s="7">
        <v>4.33</v>
      </c>
      <c r="Q279" s="7">
        <v>0</v>
      </c>
      <c r="R279" s="7">
        <v>0.67</v>
      </c>
      <c r="S279" s="7">
        <v>1.68</v>
      </c>
      <c r="T279" s="7">
        <v>5</v>
      </c>
      <c r="U279">
        <v>4</v>
      </c>
      <c r="V279">
        <v>4</v>
      </c>
    </row>
    <row r="280" spans="1:22">
      <c r="A280">
        <v>276</v>
      </c>
      <c r="B280" s="4">
        <v>46295.97314814815</v>
      </c>
      <c r="C280" s="5">
        <v>46295</v>
      </c>
      <c r="D280" s="6">
        <v>2.973611111111111</v>
      </c>
      <c r="E280" s="5">
        <v>46295</v>
      </c>
      <c r="F280" t="s">
        <v>164</v>
      </c>
      <c r="G280" t="s">
        <v>165</v>
      </c>
      <c r="H280" t="s">
        <v>26</v>
      </c>
      <c r="I280" t="s">
        <v>27</v>
      </c>
      <c r="J280" t="s">
        <v>27</v>
      </c>
      <c r="K280" t="s">
        <v>318</v>
      </c>
      <c r="L280" s="2" t="s">
        <v>319</v>
      </c>
      <c r="M280" s="8" t="s">
        <v>320</v>
      </c>
      <c r="N280" s="7">
        <v>4.33</v>
      </c>
      <c r="O280" s="2">
        <v>1</v>
      </c>
      <c r="P280" s="7">
        <v>4.33</v>
      </c>
      <c r="Q280" s="7">
        <v>0</v>
      </c>
      <c r="R280" s="7">
        <v>0.67</v>
      </c>
      <c r="S280" s="7">
        <v>1.68</v>
      </c>
      <c r="T280" s="7">
        <v>5</v>
      </c>
      <c r="U280">
        <v>4</v>
      </c>
      <c r="V280">
        <v>4</v>
      </c>
    </row>
    <row r="281" spans="1:22">
      <c r="A281">
        <v>277</v>
      </c>
      <c r="B281" s="4">
        <v>46295.97314814815</v>
      </c>
      <c r="C281" s="5">
        <v>46295</v>
      </c>
      <c r="D281" s="6">
        <v>2.9758912037037035</v>
      </c>
      <c r="E281" s="5">
        <v>46295</v>
      </c>
      <c r="F281" t="s">
        <v>164</v>
      </c>
      <c r="G281" t="s">
        <v>165</v>
      </c>
      <c r="H281" t="s">
        <v>26</v>
      </c>
      <c r="I281" t="s">
        <v>27</v>
      </c>
      <c r="J281" t="s">
        <v>27</v>
      </c>
      <c r="K281" t="s">
        <v>318</v>
      </c>
      <c r="L281" s="2" t="s">
        <v>109</v>
      </c>
      <c r="M281" s="8" t="s">
        <v>110</v>
      </c>
      <c r="N281" s="7">
        <v>1.08</v>
      </c>
      <c r="O281" s="2">
        <v>1</v>
      </c>
      <c r="P281" s="7">
        <v>1.08</v>
      </c>
      <c r="Q281" s="7">
        <v>0</v>
      </c>
      <c r="R281" s="7">
        <v>0.17</v>
      </c>
      <c r="S281" s="7">
        <v>0.26</v>
      </c>
      <c r="T281" s="7">
        <v>1.25</v>
      </c>
      <c r="U281">
        <v>4</v>
      </c>
      <c r="V281">
        <v>4</v>
      </c>
    </row>
    <row r="282" spans="1:22">
      <c r="A282">
        <v>278</v>
      </c>
      <c r="B282" s="4">
        <v>46295.97314814815</v>
      </c>
      <c r="C282" s="5">
        <v>46295</v>
      </c>
      <c r="D282" s="6">
        <v>2.975972222222222</v>
      </c>
      <c r="E282" s="5">
        <v>46295</v>
      </c>
      <c r="F282" t="s">
        <v>164</v>
      </c>
      <c r="G282" t="s">
        <v>165</v>
      </c>
      <c r="H282" t="s">
        <v>26</v>
      </c>
      <c r="I282" t="s">
        <v>27</v>
      </c>
      <c r="J282" t="s">
        <v>27</v>
      </c>
      <c r="K282" t="s">
        <v>318</v>
      </c>
      <c r="L282" s="2" t="s">
        <v>143</v>
      </c>
      <c r="M282" s="8" t="s">
        <v>144</v>
      </c>
      <c r="N282" s="7">
        <v>1.25</v>
      </c>
      <c r="O282" s="2">
        <v>1</v>
      </c>
      <c r="P282" s="7">
        <v>1.25</v>
      </c>
      <c r="Q282" s="7">
        <v>0</v>
      </c>
      <c r="R282" s="7">
        <v>0</v>
      </c>
      <c r="S282" s="7">
        <v>1.21</v>
      </c>
      <c r="T282" s="7">
        <v>1.25</v>
      </c>
      <c r="U282">
        <v>4</v>
      </c>
      <c r="V282">
        <v>4</v>
      </c>
    </row>
    <row r="283" spans="1:22">
      <c r="A283">
        <v>279</v>
      </c>
      <c r="B283" s="4">
        <v>46295.990219907406</v>
      </c>
      <c r="C283" s="5">
        <v>46295</v>
      </c>
      <c r="D283" s="6">
        <v>2.9902199074074076</v>
      </c>
      <c r="E283" s="5">
        <v>46295</v>
      </c>
      <c r="F283" t="s">
        <v>164</v>
      </c>
      <c r="G283" t="s">
        <v>165</v>
      </c>
      <c r="H283" t="s">
        <v>26</v>
      </c>
      <c r="I283" t="s">
        <v>27</v>
      </c>
      <c r="J283" t="s">
        <v>27</v>
      </c>
      <c r="K283" t="s">
        <v>321</v>
      </c>
      <c r="L283" s="2" t="s">
        <v>92</v>
      </c>
      <c r="M283" s="8" t="s">
        <v>93</v>
      </c>
      <c r="N283" s="7">
        <v>0.65</v>
      </c>
      <c r="O283" s="2">
        <v>1</v>
      </c>
      <c r="P283" s="7">
        <v>0.65</v>
      </c>
      <c r="Q283" s="7">
        <v>0</v>
      </c>
      <c r="R283" s="7">
        <v>0.1</v>
      </c>
      <c r="S283" s="7">
        <v>0.63</v>
      </c>
      <c r="T283" s="7">
        <v>0.75</v>
      </c>
      <c r="U283">
        <v>4</v>
      </c>
      <c r="V283">
        <v>4</v>
      </c>
    </row>
    <row r="284" spans="1:22">
      <c r="A284">
        <v>280</v>
      </c>
      <c r="B284" s="4">
        <v>46295.990219907406</v>
      </c>
      <c r="C284" s="5">
        <v>46295</v>
      </c>
      <c r="D284" s="6">
        <v>2.9902430555555557</v>
      </c>
      <c r="E284" s="5">
        <v>46295</v>
      </c>
      <c r="F284" t="s">
        <v>164</v>
      </c>
      <c r="G284" t="s">
        <v>165</v>
      </c>
      <c r="H284" t="s">
        <v>26</v>
      </c>
      <c r="I284" t="s">
        <v>27</v>
      </c>
      <c r="J284" t="s">
        <v>27</v>
      </c>
      <c r="K284" t="s">
        <v>321</v>
      </c>
      <c r="L284" s="2" t="s">
        <v>92</v>
      </c>
      <c r="M284" s="8" t="s">
        <v>93</v>
      </c>
      <c r="N284" s="7">
        <v>0.65</v>
      </c>
      <c r="O284" s="2">
        <v>1</v>
      </c>
      <c r="P284" s="7">
        <v>0.65</v>
      </c>
      <c r="Q284" s="7">
        <v>0</v>
      </c>
      <c r="R284" s="7">
        <v>0.1</v>
      </c>
      <c r="S284" s="7">
        <v>0.63</v>
      </c>
      <c r="T284" s="7">
        <v>0.75</v>
      </c>
      <c r="U284">
        <v>4</v>
      </c>
      <c r="V284">
        <v>4</v>
      </c>
    </row>
    <row r="285" spans="1:22">
      <c r="A285">
        <v>281</v>
      </c>
      <c r="B285" s="4">
        <v>46295.990219907406</v>
      </c>
      <c r="C285" s="5">
        <v>46295</v>
      </c>
      <c r="D285" s="6">
        <v>2.9903472222222223</v>
      </c>
      <c r="E285" s="5">
        <v>46295</v>
      </c>
      <c r="F285" t="s">
        <v>164</v>
      </c>
      <c r="G285" t="s">
        <v>165</v>
      </c>
      <c r="H285" t="s">
        <v>26</v>
      </c>
      <c r="I285" t="s">
        <v>27</v>
      </c>
      <c r="J285" t="s">
        <v>27</v>
      </c>
      <c r="K285" t="s">
        <v>321</v>
      </c>
      <c r="L285" s="3" t="s">
        <v>231</v>
      </c>
      <c r="M285" s="8" t="s">
        <v>232</v>
      </c>
      <c r="N285" s="7">
        <v>0.55000000000000004</v>
      </c>
      <c r="O285" s="2">
        <v>1</v>
      </c>
      <c r="P285" s="7">
        <v>0.55000000000000004</v>
      </c>
      <c r="Q285" s="7">
        <v>0</v>
      </c>
      <c r="R285" s="7">
        <v>0.08</v>
      </c>
      <c r="S285" s="7">
        <v>0.54</v>
      </c>
      <c r="T285" s="7">
        <v>0.63</v>
      </c>
      <c r="U285">
        <v>4</v>
      </c>
      <c r="V285">
        <v>4</v>
      </c>
    </row>
    <row r="286" spans="1:22">
      <c r="A286">
        <v>282</v>
      </c>
      <c r="B286" s="4">
        <v>46295.990219907406</v>
      </c>
      <c r="C286" s="5">
        <v>46295</v>
      </c>
      <c r="D286" s="6">
        <v>2.9904513888888888</v>
      </c>
      <c r="E286" s="5">
        <v>46295</v>
      </c>
      <c r="F286" t="s">
        <v>164</v>
      </c>
      <c r="G286" t="s">
        <v>165</v>
      </c>
      <c r="H286" t="s">
        <v>26</v>
      </c>
      <c r="I286" t="s">
        <v>27</v>
      </c>
      <c r="J286" t="s">
        <v>27</v>
      </c>
      <c r="K286" t="s">
        <v>321</v>
      </c>
      <c r="L286" s="2" t="s">
        <v>109</v>
      </c>
      <c r="M286" s="8" t="s">
        <v>110</v>
      </c>
      <c r="N286" s="7">
        <v>1.08</v>
      </c>
      <c r="O286" s="2">
        <v>1</v>
      </c>
      <c r="P286" s="7">
        <v>1.08</v>
      </c>
      <c r="Q286" s="7">
        <v>0</v>
      </c>
      <c r="R286" s="7">
        <v>0.17</v>
      </c>
      <c r="S286" s="7">
        <v>0.26</v>
      </c>
      <c r="T286" s="7">
        <v>1.25</v>
      </c>
      <c r="U286">
        <v>4</v>
      </c>
      <c r="V286">
        <v>4</v>
      </c>
    </row>
    <row r="287" spans="1:22">
      <c r="A287">
        <v>283</v>
      </c>
      <c r="B287" s="4">
        <v>46295.990636574075</v>
      </c>
      <c r="C287" s="5">
        <v>46295</v>
      </c>
      <c r="D287" s="6">
        <v>2.9906365740740739</v>
      </c>
      <c r="E287" s="5">
        <v>46295</v>
      </c>
      <c r="F287" t="s">
        <v>164</v>
      </c>
      <c r="G287" t="s">
        <v>165</v>
      </c>
      <c r="H287" t="s">
        <v>26</v>
      </c>
      <c r="I287" t="s">
        <v>27</v>
      </c>
      <c r="J287" t="s">
        <v>27</v>
      </c>
      <c r="K287" t="s">
        <v>322</v>
      </c>
      <c r="L287" s="2" t="s">
        <v>59</v>
      </c>
      <c r="M287" s="8" t="s">
        <v>60</v>
      </c>
      <c r="N287" s="7">
        <v>0.31</v>
      </c>
      <c r="O287" s="2">
        <v>1</v>
      </c>
      <c r="P287" s="7">
        <v>0.31</v>
      </c>
      <c r="Q287" s="7">
        <v>0</v>
      </c>
      <c r="R287" s="7">
        <v>0</v>
      </c>
      <c r="S287" s="7">
        <v>0.3</v>
      </c>
      <c r="T287" s="7">
        <v>0.31</v>
      </c>
      <c r="U287">
        <v>4</v>
      </c>
      <c r="V287">
        <v>4</v>
      </c>
    </row>
    <row r="288" spans="1:22">
      <c r="A288">
        <v>284</v>
      </c>
      <c r="B288" s="4">
        <v>46295.990636574075</v>
      </c>
      <c r="C288" s="5">
        <v>46295</v>
      </c>
      <c r="D288" s="6">
        <v>2.9906597222222224</v>
      </c>
      <c r="E288" s="5">
        <v>46295</v>
      </c>
      <c r="F288" t="s">
        <v>164</v>
      </c>
      <c r="G288" t="s">
        <v>165</v>
      </c>
      <c r="H288" t="s">
        <v>26</v>
      </c>
      <c r="I288" t="s">
        <v>27</v>
      </c>
      <c r="J288" t="s">
        <v>27</v>
      </c>
      <c r="K288" t="s">
        <v>322</v>
      </c>
      <c r="L288" s="2" t="s">
        <v>59</v>
      </c>
      <c r="M288" s="8" t="s">
        <v>60</v>
      </c>
      <c r="N288" s="7">
        <v>0.31</v>
      </c>
      <c r="O288" s="2">
        <v>1</v>
      </c>
      <c r="P288" s="7">
        <v>0.31</v>
      </c>
      <c r="Q288" s="7">
        <v>0</v>
      </c>
      <c r="R288" s="7">
        <v>0</v>
      </c>
      <c r="S288" s="7">
        <v>0.3</v>
      </c>
      <c r="T288" s="7">
        <v>0.31</v>
      </c>
      <c r="U288">
        <v>4</v>
      </c>
      <c r="V288">
        <v>4</v>
      </c>
    </row>
    <row r="289" spans="1:22">
      <c r="A289">
        <v>285</v>
      </c>
      <c r="B289" s="4">
        <v>46296.004999999997</v>
      </c>
      <c r="C289" s="5">
        <v>46295</v>
      </c>
      <c r="D289" s="6">
        <v>2.0049999999999999</v>
      </c>
      <c r="E289" s="5">
        <v>46295</v>
      </c>
      <c r="F289" t="s">
        <v>164</v>
      </c>
      <c r="G289" t="s">
        <v>165</v>
      </c>
      <c r="H289" t="s">
        <v>26</v>
      </c>
      <c r="I289" t="s">
        <v>27</v>
      </c>
      <c r="J289" t="s">
        <v>27</v>
      </c>
      <c r="K289" t="s">
        <v>323</v>
      </c>
      <c r="L289" s="2" t="s">
        <v>109</v>
      </c>
      <c r="M289" s="8" t="s">
        <v>110</v>
      </c>
      <c r="N289" s="7">
        <v>1.08</v>
      </c>
      <c r="O289" s="2">
        <v>1</v>
      </c>
      <c r="P289" s="7">
        <v>1.08</v>
      </c>
      <c r="Q289" s="7">
        <v>0</v>
      </c>
      <c r="R289" s="7">
        <v>0.17</v>
      </c>
      <c r="S289" s="7">
        <v>0.26</v>
      </c>
      <c r="T289" s="7">
        <v>1.25</v>
      </c>
      <c r="U289">
        <v>4</v>
      </c>
      <c r="V289">
        <v>4</v>
      </c>
    </row>
    <row r="290" spans="1:22">
      <c r="A290">
        <v>286</v>
      </c>
      <c r="B290" s="4">
        <v>46296.005983796298</v>
      </c>
      <c r="C290" s="5">
        <v>46295</v>
      </c>
      <c r="D290" s="6">
        <v>2.0059837962962961</v>
      </c>
      <c r="E290" s="5">
        <v>46295</v>
      </c>
      <c r="F290" t="s">
        <v>164</v>
      </c>
      <c r="G290" t="s">
        <v>165</v>
      </c>
      <c r="H290" t="s">
        <v>26</v>
      </c>
      <c r="I290" t="s">
        <v>27</v>
      </c>
      <c r="J290" t="s">
        <v>27</v>
      </c>
      <c r="K290" t="s">
        <v>324</v>
      </c>
      <c r="L290" s="2" t="s">
        <v>81</v>
      </c>
      <c r="M290" s="8" t="s">
        <v>82</v>
      </c>
      <c r="N290" s="7">
        <v>1.08</v>
      </c>
      <c r="O290" s="2">
        <v>1</v>
      </c>
      <c r="P290" s="7">
        <v>1.08</v>
      </c>
      <c r="Q290" s="7">
        <v>0</v>
      </c>
      <c r="R290" s="7">
        <v>0.17</v>
      </c>
      <c r="S290" s="7">
        <v>0.26</v>
      </c>
      <c r="T290" s="7">
        <v>1.25</v>
      </c>
      <c r="U290">
        <v>4</v>
      </c>
      <c r="V290">
        <v>4</v>
      </c>
    </row>
    <row r="291" spans="1:22">
      <c r="A291">
        <v>287</v>
      </c>
      <c r="B291" s="4">
        <v>46296.005983796298</v>
      </c>
      <c r="C291" s="5">
        <v>46295</v>
      </c>
      <c r="D291" s="6">
        <v>2.0060300925925927</v>
      </c>
      <c r="E291" s="5">
        <v>46295</v>
      </c>
      <c r="F291" t="s">
        <v>164</v>
      </c>
      <c r="G291" t="s">
        <v>165</v>
      </c>
      <c r="H291" t="s">
        <v>26</v>
      </c>
      <c r="I291" t="s">
        <v>27</v>
      </c>
      <c r="J291" t="s">
        <v>27</v>
      </c>
      <c r="K291" t="s">
        <v>324</v>
      </c>
      <c r="L291" s="2" t="s">
        <v>81</v>
      </c>
      <c r="M291" s="8" t="s">
        <v>82</v>
      </c>
      <c r="N291" s="7">
        <v>1.08</v>
      </c>
      <c r="O291" s="2">
        <v>1</v>
      </c>
      <c r="P291" s="7">
        <v>1.08</v>
      </c>
      <c r="Q291" s="7">
        <v>0</v>
      </c>
      <c r="R291" s="7">
        <v>0.17</v>
      </c>
      <c r="S291" s="7">
        <v>0.26</v>
      </c>
      <c r="T291" s="7">
        <v>1.25</v>
      </c>
      <c r="U291">
        <v>4</v>
      </c>
      <c r="V291">
        <v>4</v>
      </c>
    </row>
    <row r="292" spans="1:22">
      <c r="A292">
        <v>288</v>
      </c>
      <c r="B292" s="4">
        <v>46296.005983796298</v>
      </c>
      <c r="C292" s="5">
        <v>46295</v>
      </c>
      <c r="D292" s="6">
        <v>2.0063541666666667</v>
      </c>
      <c r="E292" s="5">
        <v>46295</v>
      </c>
      <c r="F292" t="s">
        <v>164</v>
      </c>
      <c r="G292" t="s">
        <v>165</v>
      </c>
      <c r="H292" t="s">
        <v>26</v>
      </c>
      <c r="I292" t="s">
        <v>27</v>
      </c>
      <c r="J292" t="s">
        <v>27</v>
      </c>
      <c r="K292" t="s">
        <v>324</v>
      </c>
      <c r="L292" s="2" t="s">
        <v>53</v>
      </c>
      <c r="M292" s="8" t="s">
        <v>54</v>
      </c>
      <c r="N292" s="7">
        <v>0.38</v>
      </c>
      <c r="O292" s="2">
        <v>1</v>
      </c>
      <c r="P292" s="7">
        <v>0.38</v>
      </c>
      <c r="Q292" s="7">
        <v>0</v>
      </c>
      <c r="R292" s="7">
        <v>0.06</v>
      </c>
      <c r="S292" s="7">
        <v>0.3</v>
      </c>
      <c r="T292" s="7">
        <v>0.44</v>
      </c>
      <c r="U292">
        <v>4</v>
      </c>
      <c r="V292">
        <v>4</v>
      </c>
    </row>
    <row r="293" spans="1:22">
      <c r="A293">
        <v>289</v>
      </c>
      <c r="B293" s="4">
        <v>46296.005983796298</v>
      </c>
      <c r="C293" s="5">
        <v>46295</v>
      </c>
      <c r="D293" s="6">
        <v>2.006388888888889</v>
      </c>
      <c r="E293" s="5">
        <v>46295</v>
      </c>
      <c r="F293" t="s">
        <v>164</v>
      </c>
      <c r="G293" t="s">
        <v>165</v>
      </c>
      <c r="H293" t="s">
        <v>26</v>
      </c>
      <c r="I293" t="s">
        <v>27</v>
      </c>
      <c r="J293" t="s">
        <v>27</v>
      </c>
      <c r="K293" t="s">
        <v>324</v>
      </c>
      <c r="L293" s="2" t="s">
        <v>53</v>
      </c>
      <c r="M293" s="8" t="s">
        <v>54</v>
      </c>
      <c r="N293" s="7">
        <v>0.38</v>
      </c>
      <c r="O293" s="2">
        <v>1</v>
      </c>
      <c r="P293" s="7">
        <v>0.38</v>
      </c>
      <c r="Q293" s="7">
        <v>0</v>
      </c>
      <c r="R293" s="7">
        <v>0.06</v>
      </c>
      <c r="S293" s="7">
        <v>0.3</v>
      </c>
      <c r="T293" s="7">
        <v>0.44</v>
      </c>
      <c r="U293">
        <v>4</v>
      </c>
      <c r="V293">
        <v>4</v>
      </c>
    </row>
    <row r="294" spans="1:22">
      <c r="A294">
        <v>290</v>
      </c>
      <c r="B294" s="4">
        <v>46296.005983796298</v>
      </c>
      <c r="C294" s="5">
        <v>46295</v>
      </c>
      <c r="D294" s="6">
        <v>2.0064236111111109</v>
      </c>
      <c r="E294" s="5">
        <v>46295</v>
      </c>
      <c r="F294" t="s">
        <v>164</v>
      </c>
      <c r="G294" t="s">
        <v>165</v>
      </c>
      <c r="H294" t="s">
        <v>26</v>
      </c>
      <c r="I294" t="s">
        <v>27</v>
      </c>
      <c r="J294" t="s">
        <v>27</v>
      </c>
      <c r="K294" t="s">
        <v>324</v>
      </c>
      <c r="L294" s="2" t="s">
        <v>53</v>
      </c>
      <c r="M294" s="8" t="s">
        <v>54</v>
      </c>
      <c r="N294" s="7">
        <v>0.38</v>
      </c>
      <c r="O294" s="2">
        <v>1</v>
      </c>
      <c r="P294" s="7">
        <v>0.38</v>
      </c>
      <c r="Q294" s="7">
        <v>0</v>
      </c>
      <c r="R294" s="7">
        <v>0.06</v>
      </c>
      <c r="S294" s="7">
        <v>0.3</v>
      </c>
      <c r="T294" s="7">
        <v>0.44</v>
      </c>
      <c r="U294">
        <v>4</v>
      </c>
      <c r="V294">
        <v>4</v>
      </c>
    </row>
    <row r="295" spans="1:22">
      <c r="A295">
        <v>291</v>
      </c>
      <c r="B295" s="4">
        <v>46296.005983796298</v>
      </c>
      <c r="C295" s="5">
        <v>46295</v>
      </c>
      <c r="D295" s="6">
        <v>2.0065046296296298</v>
      </c>
      <c r="E295" s="5">
        <v>46295</v>
      </c>
      <c r="F295" t="s">
        <v>164</v>
      </c>
      <c r="G295" t="s">
        <v>165</v>
      </c>
      <c r="H295" t="s">
        <v>26</v>
      </c>
      <c r="I295" t="s">
        <v>27</v>
      </c>
      <c r="J295" t="s">
        <v>27</v>
      </c>
      <c r="K295" t="s">
        <v>324</v>
      </c>
      <c r="L295" s="2" t="s">
        <v>66</v>
      </c>
      <c r="M295" s="8" t="s">
        <v>67</v>
      </c>
      <c r="N295" s="7">
        <v>2.19</v>
      </c>
      <c r="O295" s="2">
        <v>1</v>
      </c>
      <c r="P295" s="7">
        <v>2.19</v>
      </c>
      <c r="Q295" s="7">
        <v>0</v>
      </c>
      <c r="R295" s="7">
        <v>0</v>
      </c>
      <c r="S295" s="7">
        <v>2.1</v>
      </c>
      <c r="T295" s="7">
        <v>2.19</v>
      </c>
      <c r="U295">
        <v>4</v>
      </c>
      <c r="V295">
        <v>4</v>
      </c>
    </row>
    <row r="296" spans="1:22">
      <c r="A296">
        <v>292</v>
      </c>
      <c r="B296" s="4">
        <v>46296.005983796298</v>
      </c>
      <c r="C296" s="5">
        <v>46295</v>
      </c>
      <c r="D296" s="6">
        <v>2.0065740740740741</v>
      </c>
      <c r="E296" s="5">
        <v>46295</v>
      </c>
      <c r="F296" t="s">
        <v>164</v>
      </c>
      <c r="G296" t="s">
        <v>165</v>
      </c>
      <c r="H296" t="s">
        <v>26</v>
      </c>
      <c r="I296" t="s">
        <v>27</v>
      </c>
      <c r="J296" t="s">
        <v>27</v>
      </c>
      <c r="K296" t="s">
        <v>324</v>
      </c>
      <c r="L296" s="2" t="s">
        <v>325</v>
      </c>
      <c r="M296" s="8" t="s">
        <v>326</v>
      </c>
      <c r="N296" s="7">
        <v>1.63</v>
      </c>
      <c r="O296" s="2">
        <v>1</v>
      </c>
      <c r="P296" s="7">
        <v>1.63</v>
      </c>
      <c r="Q296" s="7">
        <v>0</v>
      </c>
      <c r="R296" s="7">
        <v>0.25</v>
      </c>
      <c r="S296" s="7">
        <v>1.57</v>
      </c>
      <c r="T296" s="7">
        <v>1.88</v>
      </c>
      <c r="U296">
        <v>4</v>
      </c>
      <c r="V296">
        <v>4</v>
      </c>
    </row>
    <row r="297" spans="1:22">
      <c r="A297">
        <v>293</v>
      </c>
      <c r="B297" s="4">
        <v>46296.017083333332</v>
      </c>
      <c r="C297" s="5">
        <v>46295</v>
      </c>
      <c r="D297" s="6">
        <v>2.0170833333333333</v>
      </c>
      <c r="E297" s="5">
        <v>46295</v>
      </c>
      <c r="F297" t="s">
        <v>164</v>
      </c>
      <c r="G297" t="s">
        <v>165</v>
      </c>
      <c r="H297" t="s">
        <v>26</v>
      </c>
      <c r="I297" t="s">
        <v>27</v>
      </c>
      <c r="J297" t="s">
        <v>27</v>
      </c>
      <c r="K297" t="s">
        <v>327</v>
      </c>
      <c r="L297" s="2" t="s">
        <v>53</v>
      </c>
      <c r="M297" s="8" t="s">
        <v>54</v>
      </c>
      <c r="N297" s="7">
        <v>0.38</v>
      </c>
      <c r="O297" s="2">
        <v>1</v>
      </c>
      <c r="P297" s="7">
        <v>0.38</v>
      </c>
      <c r="Q297" s="7">
        <v>0</v>
      </c>
      <c r="R297" s="7">
        <v>0.06</v>
      </c>
      <c r="S297" s="7">
        <v>0.3</v>
      </c>
      <c r="T297" s="7">
        <v>0.44</v>
      </c>
      <c r="U297">
        <v>4</v>
      </c>
      <c r="V297">
        <v>4</v>
      </c>
    </row>
    <row r="298" spans="1:22">
      <c r="A298">
        <v>294</v>
      </c>
      <c r="B298" s="4">
        <v>46296.017083333332</v>
      </c>
      <c r="C298" s="5">
        <v>46295</v>
      </c>
      <c r="D298" s="6">
        <v>2.0171064814814814</v>
      </c>
      <c r="E298" s="5">
        <v>46295</v>
      </c>
      <c r="F298" t="s">
        <v>164</v>
      </c>
      <c r="G298" t="s">
        <v>165</v>
      </c>
      <c r="H298" t="s">
        <v>26</v>
      </c>
      <c r="I298" t="s">
        <v>27</v>
      </c>
      <c r="J298" t="s">
        <v>27</v>
      </c>
      <c r="K298" t="s">
        <v>327</v>
      </c>
      <c r="L298" s="2" t="s">
        <v>53</v>
      </c>
      <c r="M298" s="8" t="s">
        <v>54</v>
      </c>
      <c r="N298" s="7">
        <v>0.38</v>
      </c>
      <c r="O298" s="2">
        <v>1</v>
      </c>
      <c r="P298" s="7">
        <v>0.38</v>
      </c>
      <c r="Q298" s="7">
        <v>0</v>
      </c>
      <c r="R298" s="7">
        <v>0.06</v>
      </c>
      <c r="S298" s="7">
        <v>0.3</v>
      </c>
      <c r="T298" s="7">
        <v>0.44</v>
      </c>
      <c r="U298">
        <v>4</v>
      </c>
      <c r="V298">
        <v>4</v>
      </c>
    </row>
    <row r="299" spans="1:22">
      <c r="A299">
        <v>295</v>
      </c>
      <c r="B299" s="4">
        <v>46296.017083333332</v>
      </c>
      <c r="C299" s="5">
        <v>46295</v>
      </c>
      <c r="D299" s="6">
        <v>2.0171180555555557</v>
      </c>
      <c r="E299" s="5">
        <v>46295</v>
      </c>
      <c r="F299" t="s">
        <v>164</v>
      </c>
      <c r="G299" t="s">
        <v>165</v>
      </c>
      <c r="H299" t="s">
        <v>26</v>
      </c>
      <c r="I299" t="s">
        <v>27</v>
      </c>
      <c r="J299" t="s">
        <v>27</v>
      </c>
      <c r="K299" t="s">
        <v>327</v>
      </c>
      <c r="L299" s="2" t="s">
        <v>53</v>
      </c>
      <c r="M299" s="8" t="s">
        <v>54</v>
      </c>
      <c r="N299" s="7">
        <v>0.38</v>
      </c>
      <c r="O299" s="2">
        <v>1</v>
      </c>
      <c r="P299" s="7">
        <v>0.38</v>
      </c>
      <c r="Q299" s="7">
        <v>0</v>
      </c>
      <c r="R299" s="7">
        <v>0.06</v>
      </c>
      <c r="S299" s="7">
        <v>0.3</v>
      </c>
      <c r="T299" s="7">
        <v>0.44</v>
      </c>
      <c r="U299">
        <v>4</v>
      </c>
      <c r="V299">
        <v>4</v>
      </c>
    </row>
    <row r="300" spans="1:22">
      <c r="A300">
        <v>296</v>
      </c>
      <c r="B300" s="4">
        <v>46296.021747685183</v>
      </c>
      <c r="C300" s="5">
        <v>46295</v>
      </c>
      <c r="D300" s="6">
        <v>2.021747685185185</v>
      </c>
      <c r="E300" s="5">
        <v>46295</v>
      </c>
      <c r="F300" t="s">
        <v>164</v>
      </c>
      <c r="G300" t="s">
        <v>165</v>
      </c>
      <c r="H300" t="s">
        <v>26</v>
      </c>
      <c r="I300" t="s">
        <v>27</v>
      </c>
      <c r="J300" t="s">
        <v>27</v>
      </c>
      <c r="K300" t="s">
        <v>328</v>
      </c>
      <c r="L300" s="2" t="s">
        <v>59</v>
      </c>
      <c r="M300" s="8" t="s">
        <v>60</v>
      </c>
      <c r="N300" s="7">
        <v>0.31</v>
      </c>
      <c r="O300" s="2">
        <v>1</v>
      </c>
      <c r="P300" s="7">
        <v>0.31</v>
      </c>
      <c r="Q300" s="7">
        <v>0</v>
      </c>
      <c r="R300" s="7">
        <v>0</v>
      </c>
      <c r="S300" s="7">
        <v>0.3</v>
      </c>
      <c r="T300" s="7">
        <v>0.31</v>
      </c>
      <c r="U300">
        <v>4</v>
      </c>
      <c r="V300">
        <v>4</v>
      </c>
    </row>
    <row r="301" spans="1:22">
      <c r="A301">
        <v>297</v>
      </c>
      <c r="B301" s="4">
        <v>46296.021747685183</v>
      </c>
      <c r="C301" s="5">
        <v>46295</v>
      </c>
      <c r="D301" s="6">
        <v>2.0217824074074073</v>
      </c>
      <c r="E301" s="5">
        <v>46295</v>
      </c>
      <c r="F301" t="s">
        <v>164</v>
      </c>
      <c r="G301" t="s">
        <v>165</v>
      </c>
      <c r="H301" t="s">
        <v>26</v>
      </c>
      <c r="I301" t="s">
        <v>27</v>
      </c>
      <c r="J301" t="s">
        <v>27</v>
      </c>
      <c r="K301" t="s">
        <v>328</v>
      </c>
      <c r="L301" s="2" t="s">
        <v>59</v>
      </c>
      <c r="M301" s="8" t="s">
        <v>60</v>
      </c>
      <c r="N301" s="7">
        <v>0.31</v>
      </c>
      <c r="O301" s="2">
        <v>1</v>
      </c>
      <c r="P301" s="7">
        <v>0.31</v>
      </c>
      <c r="Q301" s="7">
        <v>0</v>
      </c>
      <c r="R301" s="7">
        <v>0</v>
      </c>
      <c r="S301" s="7">
        <v>0.3</v>
      </c>
      <c r="T301" s="7">
        <v>0.31</v>
      </c>
      <c r="U301">
        <v>4</v>
      </c>
      <c r="V301">
        <v>4</v>
      </c>
    </row>
    <row r="302" spans="1:22">
      <c r="A302">
        <v>298</v>
      </c>
      <c r="B302" s="4">
        <v>46296.021747685183</v>
      </c>
      <c r="C302" s="5">
        <v>46295</v>
      </c>
      <c r="D302" s="6">
        <v>2.0217939814814816</v>
      </c>
      <c r="E302" s="5">
        <v>46295</v>
      </c>
      <c r="F302" t="s">
        <v>164</v>
      </c>
      <c r="G302" t="s">
        <v>165</v>
      </c>
      <c r="H302" t="s">
        <v>26</v>
      </c>
      <c r="I302" t="s">
        <v>27</v>
      </c>
      <c r="J302" t="s">
        <v>27</v>
      </c>
      <c r="K302" t="s">
        <v>328</v>
      </c>
      <c r="L302" s="2" t="s">
        <v>59</v>
      </c>
      <c r="M302" s="8" t="s">
        <v>60</v>
      </c>
      <c r="N302" s="7">
        <v>0.31</v>
      </c>
      <c r="O302" s="2">
        <v>1</v>
      </c>
      <c r="P302" s="7">
        <v>0.31</v>
      </c>
      <c r="Q302" s="7">
        <v>0</v>
      </c>
      <c r="R302" s="7">
        <v>0</v>
      </c>
      <c r="S302" s="7">
        <v>0.3</v>
      </c>
      <c r="T302" s="7">
        <v>0.31</v>
      </c>
      <c r="U302">
        <v>4</v>
      </c>
      <c r="V302">
        <v>4</v>
      </c>
    </row>
    <row r="303" spans="1:22">
      <c r="A303">
        <v>299</v>
      </c>
      <c r="B303" s="4">
        <v>46296.021747685183</v>
      </c>
      <c r="C303" s="5">
        <v>46295</v>
      </c>
      <c r="D303" s="6">
        <v>2.0218171296296297</v>
      </c>
      <c r="E303" s="5">
        <v>46295</v>
      </c>
      <c r="F303" t="s">
        <v>164</v>
      </c>
      <c r="G303" t="s">
        <v>165</v>
      </c>
      <c r="H303" t="s">
        <v>26</v>
      </c>
      <c r="I303" t="s">
        <v>27</v>
      </c>
      <c r="J303" t="s">
        <v>27</v>
      </c>
      <c r="K303" t="s">
        <v>328</v>
      </c>
      <c r="L303" s="2" t="s">
        <v>59</v>
      </c>
      <c r="M303" s="8" t="s">
        <v>60</v>
      </c>
      <c r="N303" s="7">
        <v>0.31</v>
      </c>
      <c r="O303" s="2">
        <v>1</v>
      </c>
      <c r="P303" s="7">
        <v>0.31</v>
      </c>
      <c r="Q303" s="7">
        <v>0</v>
      </c>
      <c r="R303" s="7">
        <v>0</v>
      </c>
      <c r="S303" s="7">
        <v>0.3</v>
      </c>
      <c r="T303" s="7">
        <v>0.31</v>
      </c>
      <c r="U303">
        <v>4</v>
      </c>
      <c r="V303">
        <v>4</v>
      </c>
    </row>
    <row r="304" spans="1:22">
      <c r="A304">
        <v>300</v>
      </c>
      <c r="B304" s="4">
        <v>46296.021747685183</v>
      </c>
      <c r="C304" s="5">
        <v>46295</v>
      </c>
      <c r="D304" s="6">
        <v>2.0218402777777778</v>
      </c>
      <c r="E304" s="5">
        <v>46295</v>
      </c>
      <c r="F304" t="s">
        <v>164</v>
      </c>
      <c r="G304" t="s">
        <v>165</v>
      </c>
      <c r="H304" t="s">
        <v>26</v>
      </c>
      <c r="I304" t="s">
        <v>27</v>
      </c>
      <c r="J304" t="s">
        <v>27</v>
      </c>
      <c r="K304" t="s">
        <v>328</v>
      </c>
      <c r="L304" s="2" t="s">
        <v>59</v>
      </c>
      <c r="M304" s="8" t="s">
        <v>60</v>
      </c>
      <c r="N304" s="7">
        <v>0.31</v>
      </c>
      <c r="O304" s="2">
        <v>1</v>
      </c>
      <c r="P304" s="7">
        <v>0.31</v>
      </c>
      <c r="Q304" s="7">
        <v>0</v>
      </c>
      <c r="R304" s="7">
        <v>0</v>
      </c>
      <c r="S304" s="7">
        <v>0.3</v>
      </c>
      <c r="T304" s="7">
        <v>0.31</v>
      </c>
      <c r="U304">
        <v>4</v>
      </c>
      <c r="V304">
        <v>4</v>
      </c>
    </row>
    <row r="305" spans="1:22">
      <c r="A305">
        <v>301</v>
      </c>
      <c r="B305" s="4">
        <v>46296.021747685183</v>
      </c>
      <c r="C305" s="5">
        <v>46295</v>
      </c>
      <c r="D305" s="6">
        <v>2.0218750000000001</v>
      </c>
      <c r="E305" s="5">
        <v>46295</v>
      </c>
      <c r="F305" t="s">
        <v>164</v>
      </c>
      <c r="G305" t="s">
        <v>165</v>
      </c>
      <c r="H305" t="s">
        <v>26</v>
      </c>
      <c r="I305" t="s">
        <v>27</v>
      </c>
      <c r="J305" t="s">
        <v>27</v>
      </c>
      <c r="K305" t="s">
        <v>328</v>
      </c>
      <c r="L305" s="2" t="s">
        <v>59</v>
      </c>
      <c r="M305" s="8" t="s">
        <v>60</v>
      </c>
      <c r="N305" s="7">
        <v>0.31</v>
      </c>
      <c r="O305" s="2">
        <v>1</v>
      </c>
      <c r="P305" s="7">
        <v>0.31</v>
      </c>
      <c r="Q305" s="7">
        <v>0</v>
      </c>
      <c r="R305" s="7">
        <v>0</v>
      </c>
      <c r="S305" s="7">
        <v>0.3</v>
      </c>
      <c r="T305" s="7">
        <v>0.31</v>
      </c>
      <c r="U305">
        <v>4</v>
      </c>
      <c r="V305">
        <v>4</v>
      </c>
    </row>
    <row r="306" spans="1:22">
      <c r="A306">
        <v>302</v>
      </c>
      <c r="B306" s="4">
        <v>46296.030428240738</v>
      </c>
      <c r="C306" s="5">
        <v>46295</v>
      </c>
      <c r="D306" s="6">
        <v>2.0304282407407408</v>
      </c>
      <c r="E306" s="5">
        <v>46295</v>
      </c>
      <c r="F306" t="s">
        <v>164</v>
      </c>
      <c r="G306" t="s">
        <v>165</v>
      </c>
      <c r="H306" t="s">
        <v>26</v>
      </c>
      <c r="I306" t="s">
        <v>27</v>
      </c>
      <c r="J306" t="s">
        <v>27</v>
      </c>
      <c r="K306" t="s">
        <v>329</v>
      </c>
      <c r="L306" s="2" t="s">
        <v>113</v>
      </c>
      <c r="M306" s="8" t="s">
        <v>114</v>
      </c>
      <c r="N306" s="7">
        <v>1.08</v>
      </c>
      <c r="O306" s="2">
        <v>1</v>
      </c>
      <c r="P306" s="7">
        <v>1.08</v>
      </c>
      <c r="Q306" s="7">
        <v>0</v>
      </c>
      <c r="R306" s="7">
        <v>0.17</v>
      </c>
      <c r="S306" s="7">
        <v>0.26</v>
      </c>
      <c r="T306" s="7">
        <v>1.25</v>
      </c>
      <c r="U306">
        <v>4</v>
      </c>
      <c r="V306">
        <v>4</v>
      </c>
    </row>
    <row r="307" spans="1:22">
      <c r="A307">
        <v>303</v>
      </c>
      <c r="B307" s="4">
        <v>46296.030428240738</v>
      </c>
      <c r="C307" s="5">
        <v>46295</v>
      </c>
      <c r="D307" s="6">
        <v>2.0305208333333336</v>
      </c>
      <c r="E307" s="5">
        <v>46295</v>
      </c>
      <c r="F307" t="s">
        <v>164</v>
      </c>
      <c r="G307" t="s">
        <v>165</v>
      </c>
      <c r="H307" t="s">
        <v>26</v>
      </c>
      <c r="I307" t="s">
        <v>27</v>
      </c>
      <c r="J307" t="s">
        <v>27</v>
      </c>
      <c r="K307" t="s">
        <v>329</v>
      </c>
      <c r="L307" s="2" t="s">
        <v>88</v>
      </c>
      <c r="M307" s="8" t="s">
        <v>89</v>
      </c>
      <c r="N307" s="7">
        <v>0.81</v>
      </c>
      <c r="O307" s="2">
        <v>1</v>
      </c>
      <c r="P307" s="7">
        <v>0.81</v>
      </c>
      <c r="Q307" s="7">
        <v>0</v>
      </c>
      <c r="R307" s="7">
        <v>0.13</v>
      </c>
      <c r="S307" s="7">
        <v>0.79</v>
      </c>
      <c r="T307" s="7">
        <v>0.94</v>
      </c>
      <c r="U307">
        <v>4</v>
      </c>
      <c r="V307">
        <v>4</v>
      </c>
    </row>
    <row r="308" spans="1:22">
      <c r="A308">
        <v>304</v>
      </c>
      <c r="B308" s="4">
        <v>46296.030428240738</v>
      </c>
      <c r="C308" s="5">
        <v>46295</v>
      </c>
      <c r="D308" s="6">
        <v>2.0317245370370371</v>
      </c>
      <c r="E308" s="5">
        <v>46295</v>
      </c>
      <c r="F308" t="s">
        <v>164</v>
      </c>
      <c r="G308" t="s">
        <v>165</v>
      </c>
      <c r="H308" t="s">
        <v>26</v>
      </c>
      <c r="I308" t="s">
        <v>27</v>
      </c>
      <c r="J308" t="s">
        <v>27</v>
      </c>
      <c r="K308" t="s">
        <v>329</v>
      </c>
      <c r="L308" s="3" t="s">
        <v>231</v>
      </c>
      <c r="M308" s="8" t="s">
        <v>232</v>
      </c>
      <c r="N308" s="7">
        <v>0.55000000000000004</v>
      </c>
      <c r="O308" s="2">
        <v>1</v>
      </c>
      <c r="P308" s="7">
        <v>0.55000000000000004</v>
      </c>
      <c r="Q308" s="7">
        <v>0</v>
      </c>
      <c r="R308" s="7">
        <v>0.08</v>
      </c>
      <c r="S308" s="7">
        <v>0.54</v>
      </c>
      <c r="T308" s="7">
        <v>0.63</v>
      </c>
      <c r="U308">
        <v>4</v>
      </c>
      <c r="V308">
        <v>4</v>
      </c>
    </row>
    <row r="309" spans="1:22">
      <c r="A309">
        <v>305</v>
      </c>
      <c r="B309" s="4">
        <v>46296.03460648148</v>
      </c>
      <c r="C309" s="5">
        <v>46295</v>
      </c>
      <c r="D309" s="6">
        <v>2.0346064814814815</v>
      </c>
      <c r="E309" s="5">
        <v>46295</v>
      </c>
      <c r="F309" t="s">
        <v>164</v>
      </c>
      <c r="G309" t="s">
        <v>165</v>
      </c>
      <c r="H309" t="s">
        <v>26</v>
      </c>
      <c r="I309" t="s">
        <v>27</v>
      </c>
      <c r="J309" t="s">
        <v>27</v>
      </c>
      <c r="K309" t="s">
        <v>330</v>
      </c>
      <c r="L309" s="2" t="s">
        <v>92</v>
      </c>
      <c r="M309" s="8" t="s">
        <v>93</v>
      </c>
      <c r="N309" s="7">
        <v>0.65</v>
      </c>
      <c r="O309" s="2">
        <v>1</v>
      </c>
      <c r="P309" s="7">
        <v>0.65</v>
      </c>
      <c r="Q309" s="7">
        <v>0</v>
      </c>
      <c r="R309" s="7">
        <v>0.1</v>
      </c>
      <c r="S309" s="7">
        <v>0.63</v>
      </c>
      <c r="T309" s="7">
        <v>0.75</v>
      </c>
      <c r="U309">
        <v>4</v>
      </c>
      <c r="V309">
        <v>4</v>
      </c>
    </row>
    <row r="310" spans="1:22">
      <c r="A310">
        <v>306</v>
      </c>
      <c r="B310" s="4">
        <v>46296.03460648148</v>
      </c>
      <c r="C310" s="5">
        <v>46295</v>
      </c>
      <c r="D310" s="6">
        <v>2.0346296296296296</v>
      </c>
      <c r="E310" s="5">
        <v>46295</v>
      </c>
      <c r="F310" t="s">
        <v>164</v>
      </c>
      <c r="G310" t="s">
        <v>165</v>
      </c>
      <c r="H310" t="s">
        <v>26</v>
      </c>
      <c r="I310" t="s">
        <v>27</v>
      </c>
      <c r="J310" t="s">
        <v>27</v>
      </c>
      <c r="K310" t="s">
        <v>330</v>
      </c>
      <c r="L310" s="2" t="s">
        <v>92</v>
      </c>
      <c r="M310" s="8" t="s">
        <v>93</v>
      </c>
      <c r="N310" s="7">
        <v>0.65</v>
      </c>
      <c r="O310" s="2">
        <v>1</v>
      </c>
      <c r="P310" s="7">
        <v>0.65</v>
      </c>
      <c r="Q310" s="7">
        <v>0</v>
      </c>
      <c r="R310" s="7">
        <v>0.1</v>
      </c>
      <c r="S310" s="7">
        <v>0.63</v>
      </c>
      <c r="T310" s="7">
        <v>0.75</v>
      </c>
      <c r="U310">
        <v>4</v>
      </c>
      <c r="V310">
        <v>4</v>
      </c>
    </row>
    <row r="311" spans="1:22">
      <c r="A311">
        <v>307</v>
      </c>
      <c r="B311" s="4">
        <v>46296.03460648148</v>
      </c>
      <c r="C311" s="5">
        <v>46295</v>
      </c>
      <c r="D311" s="6">
        <v>2.0346759259259257</v>
      </c>
      <c r="E311" s="5">
        <v>46295</v>
      </c>
      <c r="F311" t="s">
        <v>164</v>
      </c>
      <c r="G311" t="s">
        <v>165</v>
      </c>
      <c r="H311" t="s">
        <v>26</v>
      </c>
      <c r="I311" t="s">
        <v>27</v>
      </c>
      <c r="J311" t="s">
        <v>27</v>
      </c>
      <c r="K311" t="s">
        <v>330</v>
      </c>
      <c r="L311" s="2" t="s">
        <v>331</v>
      </c>
      <c r="M311" s="8" t="s">
        <v>332</v>
      </c>
      <c r="N311" s="7">
        <v>0.55000000000000004</v>
      </c>
      <c r="O311" s="2">
        <v>1</v>
      </c>
      <c r="P311" s="7">
        <v>0.55000000000000004</v>
      </c>
      <c r="Q311" s="7">
        <v>0</v>
      </c>
      <c r="R311" s="7">
        <v>0.08</v>
      </c>
      <c r="S311" s="7">
        <v>0.53</v>
      </c>
      <c r="T311" s="7">
        <v>0.63</v>
      </c>
      <c r="U311">
        <v>4</v>
      </c>
      <c r="V311">
        <v>4</v>
      </c>
    </row>
    <row r="312" spans="1:22">
      <c r="A312">
        <v>308</v>
      </c>
      <c r="B312" s="4">
        <v>46296.03460648148</v>
      </c>
      <c r="C312" s="5">
        <v>46295</v>
      </c>
      <c r="D312" s="6">
        <v>2.0346990740740742</v>
      </c>
      <c r="E312" s="5">
        <v>46295</v>
      </c>
      <c r="F312" t="s">
        <v>164</v>
      </c>
      <c r="G312" t="s">
        <v>165</v>
      </c>
      <c r="H312" t="s">
        <v>26</v>
      </c>
      <c r="I312" t="s">
        <v>27</v>
      </c>
      <c r="J312" t="s">
        <v>27</v>
      </c>
      <c r="K312" t="s">
        <v>330</v>
      </c>
      <c r="L312" s="2" t="s">
        <v>331</v>
      </c>
      <c r="M312" s="8" t="s">
        <v>332</v>
      </c>
      <c r="N312" s="7">
        <v>0.55000000000000004</v>
      </c>
      <c r="O312" s="2">
        <v>1</v>
      </c>
      <c r="P312" s="7">
        <v>0.55000000000000004</v>
      </c>
      <c r="Q312" s="7">
        <v>0</v>
      </c>
      <c r="R312" s="7">
        <v>0.08</v>
      </c>
      <c r="S312" s="7">
        <v>0.53</v>
      </c>
      <c r="T312" s="7">
        <v>0.63</v>
      </c>
      <c r="U312">
        <v>4</v>
      </c>
      <c r="V312">
        <v>4</v>
      </c>
    </row>
    <row r="313" spans="1:22">
      <c r="A313">
        <v>309</v>
      </c>
      <c r="B313" s="4">
        <v>46296.03460648148</v>
      </c>
      <c r="C313" s="5">
        <v>46295</v>
      </c>
      <c r="D313" s="6">
        <v>2.0347800925925927</v>
      </c>
      <c r="E313" s="5">
        <v>46295</v>
      </c>
      <c r="F313" t="s">
        <v>164</v>
      </c>
      <c r="G313" t="s">
        <v>165</v>
      </c>
      <c r="H313" t="s">
        <v>26</v>
      </c>
      <c r="I313" t="s">
        <v>27</v>
      </c>
      <c r="J313" t="s">
        <v>27</v>
      </c>
      <c r="K313" t="s">
        <v>330</v>
      </c>
      <c r="L313" s="2" t="s">
        <v>53</v>
      </c>
      <c r="M313" s="8" t="s">
        <v>54</v>
      </c>
      <c r="N313" s="7">
        <v>0.38</v>
      </c>
      <c r="O313" s="2">
        <v>1</v>
      </c>
      <c r="P313" s="7">
        <v>0.38</v>
      </c>
      <c r="Q313" s="7">
        <v>0</v>
      </c>
      <c r="R313" s="7">
        <v>0.06</v>
      </c>
      <c r="S313" s="7">
        <v>0.3</v>
      </c>
      <c r="T313" s="7">
        <v>0.44</v>
      </c>
      <c r="U313">
        <v>4</v>
      </c>
      <c r="V313">
        <v>4</v>
      </c>
    </row>
    <row r="314" spans="1:22">
      <c r="A314">
        <v>310</v>
      </c>
      <c r="B314" s="4">
        <v>46296.03460648148</v>
      </c>
      <c r="C314" s="5">
        <v>46295</v>
      </c>
      <c r="D314" s="6">
        <v>2.0348032407407408</v>
      </c>
      <c r="E314" s="5">
        <v>46295</v>
      </c>
      <c r="F314" t="s">
        <v>164</v>
      </c>
      <c r="G314" t="s">
        <v>165</v>
      </c>
      <c r="H314" t="s">
        <v>26</v>
      </c>
      <c r="I314" t="s">
        <v>27</v>
      </c>
      <c r="J314" t="s">
        <v>27</v>
      </c>
      <c r="K314" t="s">
        <v>330</v>
      </c>
      <c r="L314" s="2" t="s">
        <v>53</v>
      </c>
      <c r="M314" s="8" t="s">
        <v>54</v>
      </c>
      <c r="N314" s="7">
        <v>0.38</v>
      </c>
      <c r="O314" s="2">
        <v>1</v>
      </c>
      <c r="P314" s="7">
        <v>0.38</v>
      </c>
      <c r="Q314" s="7">
        <v>0</v>
      </c>
      <c r="R314" s="7">
        <v>0.06</v>
      </c>
      <c r="S314" s="7">
        <v>0.3</v>
      </c>
      <c r="T314" s="7">
        <v>0.44</v>
      </c>
      <c r="U314">
        <v>4</v>
      </c>
      <c r="V314">
        <v>4</v>
      </c>
    </row>
    <row r="315" spans="1:22">
      <c r="A315">
        <v>311</v>
      </c>
      <c r="B315" s="4">
        <v>46296.035486111112</v>
      </c>
      <c r="C315" s="5">
        <v>46295</v>
      </c>
      <c r="D315" s="6">
        <v>2.0354861111111111</v>
      </c>
      <c r="E315" s="5">
        <v>46295</v>
      </c>
      <c r="F315" t="s">
        <v>164</v>
      </c>
      <c r="G315" t="s">
        <v>165</v>
      </c>
      <c r="H315" t="s">
        <v>26</v>
      </c>
      <c r="I315" t="s">
        <v>27</v>
      </c>
      <c r="J315" t="s">
        <v>27</v>
      </c>
      <c r="K315" t="s">
        <v>333</v>
      </c>
      <c r="L315" s="2" t="s">
        <v>66</v>
      </c>
      <c r="M315" s="8" t="s">
        <v>67</v>
      </c>
      <c r="N315" s="7">
        <v>2.19</v>
      </c>
      <c r="O315" s="2">
        <v>1</v>
      </c>
      <c r="P315" s="7">
        <v>2.19</v>
      </c>
      <c r="Q315" s="7">
        <v>0</v>
      </c>
      <c r="R315" s="7">
        <v>0</v>
      </c>
      <c r="S315" s="7">
        <v>2.1</v>
      </c>
      <c r="T315" s="7">
        <v>2.19</v>
      </c>
      <c r="U315">
        <v>4</v>
      </c>
      <c r="V315">
        <v>4</v>
      </c>
    </row>
    <row r="316" spans="1:22">
      <c r="A316">
        <v>312</v>
      </c>
      <c r="B316" s="4">
        <v>46296.035486111112</v>
      </c>
      <c r="C316" s="5">
        <v>46295</v>
      </c>
      <c r="D316" s="6">
        <v>2.0356018518518519</v>
      </c>
      <c r="E316" s="5">
        <v>46295</v>
      </c>
      <c r="F316" t="s">
        <v>164</v>
      </c>
      <c r="G316" t="s">
        <v>165</v>
      </c>
      <c r="H316" t="s">
        <v>26</v>
      </c>
      <c r="I316" t="s">
        <v>27</v>
      </c>
      <c r="J316" t="s">
        <v>27</v>
      </c>
      <c r="K316" t="s">
        <v>333</v>
      </c>
      <c r="L316" s="2" t="s">
        <v>56</v>
      </c>
      <c r="M316" s="8" t="s">
        <v>57</v>
      </c>
      <c r="N316" s="7">
        <v>0.27</v>
      </c>
      <c r="O316" s="2">
        <v>1</v>
      </c>
      <c r="P316" s="7">
        <v>0.27</v>
      </c>
      <c r="Q316" s="7">
        <v>0</v>
      </c>
      <c r="R316" s="7">
        <v>0.04</v>
      </c>
      <c r="S316" s="7">
        <v>0.19</v>
      </c>
      <c r="T316" s="7">
        <v>0.31</v>
      </c>
      <c r="U316">
        <v>4</v>
      </c>
      <c r="V316">
        <v>4</v>
      </c>
    </row>
    <row r="317" spans="1:22">
      <c r="A317">
        <v>313</v>
      </c>
      <c r="B317" s="4">
        <v>46296.036712962959</v>
      </c>
      <c r="C317" s="5">
        <v>46295</v>
      </c>
      <c r="D317" s="6">
        <v>2.0367129629629628</v>
      </c>
      <c r="E317" s="5">
        <v>46295</v>
      </c>
      <c r="F317" t="s">
        <v>164</v>
      </c>
      <c r="G317" t="s">
        <v>165</v>
      </c>
      <c r="H317" t="s">
        <v>26</v>
      </c>
      <c r="I317" t="s">
        <v>27</v>
      </c>
      <c r="J317" t="s">
        <v>27</v>
      </c>
      <c r="K317" t="s">
        <v>334</v>
      </c>
      <c r="L317" s="3" t="s">
        <v>231</v>
      </c>
      <c r="M317" s="8" t="s">
        <v>232</v>
      </c>
      <c r="N317" s="7">
        <v>0.55000000000000004</v>
      </c>
      <c r="O317" s="2">
        <v>1</v>
      </c>
      <c r="P317" s="7">
        <v>0.55000000000000004</v>
      </c>
      <c r="Q317" s="7">
        <v>0</v>
      </c>
      <c r="R317" s="7">
        <v>0.08</v>
      </c>
      <c r="S317" s="7">
        <v>0.54</v>
      </c>
      <c r="T317" s="7">
        <v>0.63</v>
      </c>
      <c r="U317">
        <v>4</v>
      </c>
      <c r="V317">
        <v>4</v>
      </c>
    </row>
    <row r="318" spans="1:22">
      <c r="A318">
        <v>314</v>
      </c>
      <c r="B318" s="4">
        <v>46296.036712962959</v>
      </c>
      <c r="C318" s="5">
        <v>46295</v>
      </c>
      <c r="D318" s="6">
        <v>2.0367476851851851</v>
      </c>
      <c r="E318" s="5">
        <v>46295</v>
      </c>
      <c r="F318" t="s">
        <v>164</v>
      </c>
      <c r="G318" t="s">
        <v>165</v>
      </c>
      <c r="H318" t="s">
        <v>26</v>
      </c>
      <c r="I318" t="s">
        <v>27</v>
      </c>
      <c r="J318" t="s">
        <v>27</v>
      </c>
      <c r="K318" t="s">
        <v>334</v>
      </c>
      <c r="L318" s="3" t="s">
        <v>231</v>
      </c>
      <c r="M318" s="8" t="s">
        <v>232</v>
      </c>
      <c r="N318" s="7">
        <v>0.55000000000000004</v>
      </c>
      <c r="O318" s="2">
        <v>1</v>
      </c>
      <c r="P318" s="7">
        <v>0.55000000000000004</v>
      </c>
      <c r="Q318" s="7">
        <v>0</v>
      </c>
      <c r="R318" s="7">
        <v>0.08</v>
      </c>
      <c r="S318" s="7">
        <v>0.54</v>
      </c>
      <c r="T318" s="7">
        <v>0.63</v>
      </c>
      <c r="U318">
        <v>4</v>
      </c>
      <c r="V318">
        <v>4</v>
      </c>
    </row>
    <row r="319" spans="1:22">
      <c r="A319">
        <v>315</v>
      </c>
      <c r="B319" s="4">
        <v>46296.036712962959</v>
      </c>
      <c r="C319" s="5">
        <v>46295</v>
      </c>
      <c r="D319" s="6">
        <v>2.0369097222222221</v>
      </c>
      <c r="E319" s="5">
        <v>46295</v>
      </c>
      <c r="F319" t="s">
        <v>164</v>
      </c>
      <c r="G319" t="s">
        <v>165</v>
      </c>
      <c r="H319" t="s">
        <v>26</v>
      </c>
      <c r="I319" t="s">
        <v>27</v>
      </c>
      <c r="J319" t="s">
        <v>27</v>
      </c>
      <c r="K319" t="s">
        <v>334</v>
      </c>
      <c r="L319" s="2" t="s">
        <v>162</v>
      </c>
      <c r="M319" s="8" t="s">
        <v>163</v>
      </c>
      <c r="N319" s="7">
        <v>1.63</v>
      </c>
      <c r="O319" s="2">
        <v>1</v>
      </c>
      <c r="P319" s="7">
        <v>1.63</v>
      </c>
      <c r="Q319" s="7">
        <v>0</v>
      </c>
      <c r="R319" s="7">
        <v>0.25</v>
      </c>
      <c r="S319" s="7">
        <v>1.57</v>
      </c>
      <c r="T319" s="7">
        <v>1.88</v>
      </c>
      <c r="U319">
        <v>4</v>
      </c>
      <c r="V319">
        <v>4</v>
      </c>
    </row>
    <row r="320" spans="1:22">
      <c r="A320">
        <v>316</v>
      </c>
      <c r="B320" s="4">
        <v>46296.036712962959</v>
      </c>
      <c r="C320" s="5">
        <v>46295</v>
      </c>
      <c r="D320" s="6">
        <v>2.0370370370370372</v>
      </c>
      <c r="E320" s="5">
        <v>46295</v>
      </c>
      <c r="F320" t="s">
        <v>164</v>
      </c>
      <c r="G320" t="s">
        <v>165</v>
      </c>
      <c r="H320" t="s">
        <v>26</v>
      </c>
      <c r="I320" t="s">
        <v>27</v>
      </c>
      <c r="J320" t="s">
        <v>27</v>
      </c>
      <c r="K320" t="s">
        <v>334</v>
      </c>
      <c r="L320" s="2" t="s">
        <v>81</v>
      </c>
      <c r="M320" s="8" t="s">
        <v>82</v>
      </c>
      <c r="N320" s="7">
        <v>1.08</v>
      </c>
      <c r="O320" s="2">
        <v>1</v>
      </c>
      <c r="P320" s="7">
        <v>1.08</v>
      </c>
      <c r="Q320" s="7">
        <v>0</v>
      </c>
      <c r="R320" s="7">
        <v>0.17</v>
      </c>
      <c r="S320" s="7">
        <v>0.26</v>
      </c>
      <c r="T320" s="7">
        <v>1.25</v>
      </c>
      <c r="U320">
        <v>4</v>
      </c>
      <c r="V320">
        <v>4</v>
      </c>
    </row>
    <row r="321" spans="1:22">
      <c r="A321">
        <v>317</v>
      </c>
      <c r="B321" s="4">
        <v>46296.036712962959</v>
      </c>
      <c r="C321" s="5">
        <v>46295</v>
      </c>
      <c r="D321" s="6">
        <v>2.0370601851851853</v>
      </c>
      <c r="E321" s="5">
        <v>46295</v>
      </c>
      <c r="F321" t="s">
        <v>164</v>
      </c>
      <c r="G321" t="s">
        <v>165</v>
      </c>
      <c r="H321" t="s">
        <v>26</v>
      </c>
      <c r="I321" t="s">
        <v>27</v>
      </c>
      <c r="J321" t="s">
        <v>27</v>
      </c>
      <c r="K321" t="s">
        <v>334</v>
      </c>
      <c r="L321" s="2" t="s">
        <v>81</v>
      </c>
      <c r="M321" s="8" t="s">
        <v>82</v>
      </c>
      <c r="N321" s="7">
        <v>1.08</v>
      </c>
      <c r="O321" s="2">
        <v>1</v>
      </c>
      <c r="P321" s="7">
        <v>1.08</v>
      </c>
      <c r="Q321" s="7">
        <v>0</v>
      </c>
      <c r="R321" s="7">
        <v>0.17</v>
      </c>
      <c r="S321" s="7">
        <v>0.26</v>
      </c>
      <c r="T321" s="7">
        <v>1.25</v>
      </c>
      <c r="U321">
        <v>4</v>
      </c>
      <c r="V321">
        <v>4</v>
      </c>
    </row>
    <row r="322" spans="1:22">
      <c r="A322">
        <v>318</v>
      </c>
      <c r="B322" s="4">
        <v>46296.038958333331</v>
      </c>
      <c r="C322" s="5">
        <v>46295</v>
      </c>
      <c r="D322" s="6">
        <v>2.0389583333333334</v>
      </c>
      <c r="E322" s="5">
        <v>46295</v>
      </c>
      <c r="F322" t="s">
        <v>164</v>
      </c>
      <c r="G322" t="s">
        <v>165</v>
      </c>
      <c r="H322" t="s">
        <v>26</v>
      </c>
      <c r="I322" t="s">
        <v>27</v>
      </c>
      <c r="J322" t="s">
        <v>27</v>
      </c>
      <c r="K322" t="s">
        <v>335</v>
      </c>
      <c r="L322" s="3" t="s">
        <v>231</v>
      </c>
      <c r="M322" s="8" t="s">
        <v>232</v>
      </c>
      <c r="N322" s="7">
        <v>0.55000000000000004</v>
      </c>
      <c r="O322" s="2">
        <v>1</v>
      </c>
      <c r="P322" s="7">
        <v>0.55000000000000004</v>
      </c>
      <c r="Q322" s="7">
        <v>0</v>
      </c>
      <c r="R322" s="7">
        <v>0.08</v>
      </c>
      <c r="S322" s="7">
        <v>0.54</v>
      </c>
      <c r="T322" s="7">
        <v>0.63</v>
      </c>
      <c r="U322">
        <v>4</v>
      </c>
      <c r="V322">
        <v>4</v>
      </c>
    </row>
    <row r="323" spans="1:22">
      <c r="A323">
        <v>319</v>
      </c>
      <c r="B323" s="4">
        <v>46296.038958333331</v>
      </c>
      <c r="C323" s="5">
        <v>46295</v>
      </c>
      <c r="D323" s="6">
        <v>2.0389814814814815</v>
      </c>
      <c r="E323" s="5">
        <v>46295</v>
      </c>
      <c r="F323" t="s">
        <v>164</v>
      </c>
      <c r="G323" t="s">
        <v>165</v>
      </c>
      <c r="H323" t="s">
        <v>26</v>
      </c>
      <c r="I323" t="s">
        <v>27</v>
      </c>
      <c r="J323" t="s">
        <v>27</v>
      </c>
      <c r="K323" t="s">
        <v>335</v>
      </c>
      <c r="L323" s="3" t="s">
        <v>231</v>
      </c>
      <c r="M323" s="8" t="s">
        <v>232</v>
      </c>
      <c r="N323" s="7">
        <v>0.55000000000000004</v>
      </c>
      <c r="O323" s="2">
        <v>1</v>
      </c>
      <c r="P323" s="7">
        <v>0.55000000000000004</v>
      </c>
      <c r="Q323" s="7">
        <v>0</v>
      </c>
      <c r="R323" s="7">
        <v>0.08</v>
      </c>
      <c r="S323" s="7">
        <v>0.54</v>
      </c>
      <c r="T323" s="7">
        <v>0.63</v>
      </c>
      <c r="U323">
        <v>4</v>
      </c>
      <c r="V323">
        <v>4</v>
      </c>
    </row>
    <row r="324" spans="1:22">
      <c r="A324">
        <v>320</v>
      </c>
      <c r="B324" s="4">
        <v>46296.038958333331</v>
      </c>
      <c r="C324" s="5">
        <v>46295</v>
      </c>
      <c r="D324" s="6">
        <v>2.0390046296296296</v>
      </c>
      <c r="E324" s="5">
        <v>46295</v>
      </c>
      <c r="F324" t="s">
        <v>164</v>
      </c>
      <c r="G324" t="s">
        <v>165</v>
      </c>
      <c r="H324" t="s">
        <v>26</v>
      </c>
      <c r="I324" t="s">
        <v>27</v>
      </c>
      <c r="J324" t="s">
        <v>27</v>
      </c>
      <c r="K324" t="s">
        <v>335</v>
      </c>
      <c r="L324" s="3" t="s">
        <v>231</v>
      </c>
      <c r="M324" s="8" t="s">
        <v>232</v>
      </c>
      <c r="N324" s="7">
        <v>0.55000000000000004</v>
      </c>
      <c r="O324" s="2">
        <v>1</v>
      </c>
      <c r="P324" s="7">
        <v>0.55000000000000004</v>
      </c>
      <c r="Q324" s="7">
        <v>0</v>
      </c>
      <c r="R324" s="7">
        <v>0.08</v>
      </c>
      <c r="S324" s="7">
        <v>0.54</v>
      </c>
      <c r="T324" s="7">
        <v>0.63</v>
      </c>
      <c r="U324">
        <v>4</v>
      </c>
      <c r="V324">
        <v>4</v>
      </c>
    </row>
    <row r="325" spans="1:22">
      <c r="A325">
        <v>321</v>
      </c>
      <c r="B325" s="4">
        <v>46296.038958333331</v>
      </c>
      <c r="C325" s="5">
        <v>46295</v>
      </c>
      <c r="D325" s="6">
        <v>2.0390856481481481</v>
      </c>
      <c r="E325" s="5">
        <v>46295</v>
      </c>
      <c r="F325" t="s">
        <v>164</v>
      </c>
      <c r="G325" t="s">
        <v>165</v>
      </c>
      <c r="H325" t="s">
        <v>26</v>
      </c>
      <c r="I325" t="s">
        <v>27</v>
      </c>
      <c r="J325" t="s">
        <v>27</v>
      </c>
      <c r="K325" t="s">
        <v>335</v>
      </c>
      <c r="L325" s="2" t="s">
        <v>88</v>
      </c>
      <c r="M325" s="8" t="s">
        <v>89</v>
      </c>
      <c r="N325" s="7">
        <v>0.81</v>
      </c>
      <c r="O325" s="2">
        <v>1</v>
      </c>
      <c r="P325" s="7">
        <v>0.81</v>
      </c>
      <c r="Q325" s="7">
        <v>0</v>
      </c>
      <c r="R325" s="7">
        <v>0.13</v>
      </c>
      <c r="S325" s="7">
        <v>0.79</v>
      </c>
      <c r="T325" s="7">
        <v>0.94</v>
      </c>
      <c r="U325">
        <v>4</v>
      </c>
      <c r="V325">
        <v>4</v>
      </c>
    </row>
    <row r="326" spans="1:22">
      <c r="A326">
        <v>322</v>
      </c>
      <c r="B326" s="4">
        <v>46296.038958333331</v>
      </c>
      <c r="C326" s="5">
        <v>46295</v>
      </c>
      <c r="D326" s="6">
        <v>2.0391087962962962</v>
      </c>
      <c r="E326" s="5">
        <v>46295</v>
      </c>
      <c r="F326" t="s">
        <v>164</v>
      </c>
      <c r="G326" t="s">
        <v>165</v>
      </c>
      <c r="H326" t="s">
        <v>26</v>
      </c>
      <c r="I326" t="s">
        <v>27</v>
      </c>
      <c r="J326" t="s">
        <v>27</v>
      </c>
      <c r="K326" t="s">
        <v>335</v>
      </c>
      <c r="L326" s="2" t="s">
        <v>88</v>
      </c>
      <c r="M326" s="8" t="s">
        <v>89</v>
      </c>
      <c r="N326" s="7">
        <v>0.81</v>
      </c>
      <c r="O326" s="2">
        <v>1</v>
      </c>
      <c r="P326" s="7">
        <v>0.81</v>
      </c>
      <c r="Q326" s="7">
        <v>0</v>
      </c>
      <c r="R326" s="7">
        <v>0.13</v>
      </c>
      <c r="S326" s="7">
        <v>0.79</v>
      </c>
      <c r="T326" s="7">
        <v>0.94</v>
      </c>
      <c r="U326">
        <v>4</v>
      </c>
      <c r="V326">
        <v>4</v>
      </c>
    </row>
    <row r="327" spans="1:22">
      <c r="A327">
        <v>323</v>
      </c>
      <c r="B327" s="4">
        <v>46296.038958333331</v>
      </c>
      <c r="C327" s="5">
        <v>46295</v>
      </c>
      <c r="D327" s="6">
        <v>2.0391319444444442</v>
      </c>
      <c r="E327" s="5">
        <v>46295</v>
      </c>
      <c r="F327" t="s">
        <v>164</v>
      </c>
      <c r="G327" t="s">
        <v>165</v>
      </c>
      <c r="H327" t="s">
        <v>26</v>
      </c>
      <c r="I327" t="s">
        <v>27</v>
      </c>
      <c r="J327" t="s">
        <v>27</v>
      </c>
      <c r="K327" t="s">
        <v>335</v>
      </c>
      <c r="L327" s="2" t="s">
        <v>88</v>
      </c>
      <c r="M327" s="8" t="s">
        <v>89</v>
      </c>
      <c r="N327" s="7">
        <v>0.81</v>
      </c>
      <c r="O327" s="2">
        <v>1</v>
      </c>
      <c r="P327" s="7">
        <v>0.81</v>
      </c>
      <c r="Q327" s="7">
        <v>0</v>
      </c>
      <c r="R327" s="7">
        <v>0.13</v>
      </c>
      <c r="S327" s="7">
        <v>0.79</v>
      </c>
      <c r="T327" s="7">
        <v>0.94</v>
      </c>
      <c r="U327">
        <v>4</v>
      </c>
      <c r="V327">
        <v>4</v>
      </c>
    </row>
    <row r="328" spans="1:22">
      <c r="A328">
        <v>324</v>
      </c>
      <c r="B328" s="4">
        <v>46296.038958333331</v>
      </c>
      <c r="C328" s="5">
        <v>46295</v>
      </c>
      <c r="D328" s="6">
        <v>2.0404166666666668</v>
      </c>
      <c r="E328" s="5">
        <v>46295</v>
      </c>
      <c r="F328" t="s">
        <v>164</v>
      </c>
      <c r="G328" t="s">
        <v>165</v>
      </c>
      <c r="H328" t="s">
        <v>26</v>
      </c>
      <c r="I328" t="s">
        <v>27</v>
      </c>
      <c r="J328" t="s">
        <v>27</v>
      </c>
      <c r="K328" t="s">
        <v>335</v>
      </c>
      <c r="L328" s="2" t="s">
        <v>56</v>
      </c>
      <c r="M328" s="8" t="s">
        <v>57</v>
      </c>
      <c r="N328" s="7">
        <v>0.27</v>
      </c>
      <c r="O328" s="2">
        <v>1</v>
      </c>
      <c r="P328" s="7">
        <v>0.27</v>
      </c>
      <c r="Q328" s="7">
        <v>0</v>
      </c>
      <c r="R328" s="7">
        <v>0.04</v>
      </c>
      <c r="S328" s="7">
        <v>0.19</v>
      </c>
      <c r="T328" s="7">
        <v>0.31</v>
      </c>
      <c r="U328">
        <v>4</v>
      </c>
      <c r="V328">
        <v>4</v>
      </c>
    </row>
    <row r="329" spans="1:22">
      <c r="A329">
        <v>325</v>
      </c>
      <c r="B329" s="4">
        <v>46296.038958333331</v>
      </c>
      <c r="C329" s="5">
        <v>46295</v>
      </c>
      <c r="D329" s="6">
        <v>2.0404398148148148</v>
      </c>
      <c r="E329" s="5">
        <v>46295</v>
      </c>
      <c r="F329" t="s">
        <v>164</v>
      </c>
      <c r="G329" t="s">
        <v>165</v>
      </c>
      <c r="H329" t="s">
        <v>26</v>
      </c>
      <c r="I329" t="s">
        <v>27</v>
      </c>
      <c r="J329" t="s">
        <v>27</v>
      </c>
      <c r="K329" t="s">
        <v>335</v>
      </c>
      <c r="L329" s="2" t="s">
        <v>56</v>
      </c>
      <c r="M329" s="8" t="s">
        <v>57</v>
      </c>
      <c r="N329" s="7">
        <v>0.27</v>
      </c>
      <c r="O329" s="2">
        <v>1</v>
      </c>
      <c r="P329" s="7">
        <v>0.27</v>
      </c>
      <c r="Q329" s="7">
        <v>0</v>
      </c>
      <c r="R329" s="7">
        <v>0.04</v>
      </c>
      <c r="S329" s="7">
        <v>0.19</v>
      </c>
      <c r="T329" s="7">
        <v>0.31</v>
      </c>
      <c r="U329">
        <v>4</v>
      </c>
      <c r="V329">
        <v>4</v>
      </c>
    </row>
    <row r="330" spans="1:22">
      <c r="A330">
        <v>326</v>
      </c>
      <c r="B330" s="4">
        <v>46296.038958333331</v>
      </c>
      <c r="C330" s="5">
        <v>46295</v>
      </c>
      <c r="D330" s="6">
        <v>2.0404629629629629</v>
      </c>
      <c r="E330" s="5">
        <v>46295</v>
      </c>
      <c r="F330" t="s">
        <v>164</v>
      </c>
      <c r="G330" t="s">
        <v>165</v>
      </c>
      <c r="H330" t="s">
        <v>26</v>
      </c>
      <c r="I330" t="s">
        <v>27</v>
      </c>
      <c r="J330" t="s">
        <v>27</v>
      </c>
      <c r="K330" t="s">
        <v>335</v>
      </c>
      <c r="L330" s="2" t="s">
        <v>56</v>
      </c>
      <c r="M330" s="8" t="s">
        <v>57</v>
      </c>
      <c r="N330" s="7">
        <v>0.27</v>
      </c>
      <c r="O330" s="2">
        <v>1</v>
      </c>
      <c r="P330" s="7">
        <v>0.27</v>
      </c>
      <c r="Q330" s="7">
        <v>0</v>
      </c>
      <c r="R330" s="7">
        <v>0.04</v>
      </c>
      <c r="S330" s="7">
        <v>0.19</v>
      </c>
      <c r="T330" s="7">
        <v>0.31</v>
      </c>
      <c r="U330">
        <v>4</v>
      </c>
      <c r="V330">
        <v>4</v>
      </c>
    </row>
    <row r="331" spans="1:22">
      <c r="A331">
        <v>327</v>
      </c>
      <c r="B331" s="4">
        <v>46296.040972222225</v>
      </c>
      <c r="C331" s="5">
        <v>46295</v>
      </c>
      <c r="D331" s="6">
        <v>2.041076388888889</v>
      </c>
      <c r="E331" s="5">
        <v>46295</v>
      </c>
      <c r="F331" t="s">
        <v>164</v>
      </c>
      <c r="G331" t="s">
        <v>165</v>
      </c>
      <c r="H331" t="s">
        <v>26</v>
      </c>
      <c r="I331" t="s">
        <v>27</v>
      </c>
      <c r="J331" t="s">
        <v>27</v>
      </c>
      <c r="K331" t="s">
        <v>336</v>
      </c>
      <c r="L331" s="2" t="s">
        <v>68</v>
      </c>
      <c r="M331" s="8" t="s">
        <v>69</v>
      </c>
      <c r="N331" s="7">
        <v>1.63</v>
      </c>
      <c r="O331" s="2">
        <v>1</v>
      </c>
      <c r="P331" s="7">
        <v>1.63</v>
      </c>
      <c r="Q331" s="7">
        <v>0</v>
      </c>
      <c r="R331" s="7">
        <v>0.25</v>
      </c>
      <c r="S331" s="7">
        <v>0.17</v>
      </c>
      <c r="T331" s="7">
        <v>1.88</v>
      </c>
      <c r="U331">
        <v>4</v>
      </c>
      <c r="V331">
        <v>4</v>
      </c>
    </row>
    <row r="332" spans="1:22">
      <c r="A332">
        <v>328</v>
      </c>
      <c r="B332" s="4">
        <v>46296.040972222225</v>
      </c>
      <c r="C332" s="5">
        <v>46295</v>
      </c>
      <c r="D332" s="6">
        <v>2.0412037037037036</v>
      </c>
      <c r="E332" s="5">
        <v>46295</v>
      </c>
      <c r="F332" t="s">
        <v>164</v>
      </c>
      <c r="G332" t="s">
        <v>165</v>
      </c>
      <c r="H332" t="s">
        <v>26</v>
      </c>
      <c r="I332" t="s">
        <v>27</v>
      </c>
      <c r="J332" t="s">
        <v>27</v>
      </c>
      <c r="K332" t="s">
        <v>336</v>
      </c>
      <c r="L332" s="2" t="s">
        <v>337</v>
      </c>
      <c r="M332" s="8" t="s">
        <v>338</v>
      </c>
      <c r="N332" s="7">
        <v>0.81</v>
      </c>
      <c r="O332" s="2">
        <v>1</v>
      </c>
      <c r="P332" s="7">
        <v>0.81</v>
      </c>
      <c r="Q332" s="7">
        <v>0</v>
      </c>
      <c r="R332" s="7">
        <v>0.13</v>
      </c>
      <c r="S332" s="7">
        <v>0.54</v>
      </c>
      <c r="T332" s="7">
        <v>0.94</v>
      </c>
      <c r="U332">
        <v>4</v>
      </c>
      <c r="V332">
        <v>4</v>
      </c>
    </row>
    <row r="333" spans="1:22">
      <c r="A333">
        <v>329</v>
      </c>
      <c r="B333" s="4">
        <v>46296.040972222225</v>
      </c>
      <c r="C333" s="5">
        <v>46295</v>
      </c>
      <c r="D333" s="6">
        <v>2.0413310185185187</v>
      </c>
      <c r="E333" s="5">
        <v>46295</v>
      </c>
      <c r="F333" t="s">
        <v>164</v>
      </c>
      <c r="G333" t="s">
        <v>165</v>
      </c>
      <c r="H333" t="s">
        <v>26</v>
      </c>
      <c r="I333" t="s">
        <v>27</v>
      </c>
      <c r="J333" t="s">
        <v>27</v>
      </c>
      <c r="K333" t="s">
        <v>336</v>
      </c>
      <c r="L333" s="2" t="s">
        <v>143</v>
      </c>
      <c r="M333" s="8" t="s">
        <v>144</v>
      </c>
      <c r="N333" s="7">
        <v>1.25</v>
      </c>
      <c r="O333" s="2">
        <v>1</v>
      </c>
      <c r="P333" s="7">
        <v>1.25</v>
      </c>
      <c r="Q333" s="7">
        <v>0</v>
      </c>
      <c r="R333" s="7">
        <v>0</v>
      </c>
      <c r="S333" s="7">
        <v>1.21</v>
      </c>
      <c r="T333" s="7">
        <v>1.25</v>
      </c>
      <c r="U333">
        <v>4</v>
      </c>
      <c r="V333">
        <v>4</v>
      </c>
    </row>
    <row r="334" spans="1:22">
      <c r="A334">
        <v>330</v>
      </c>
      <c r="B334" s="4">
        <v>46296.040972222225</v>
      </c>
      <c r="C334" s="5">
        <v>46295</v>
      </c>
      <c r="D334" s="6">
        <v>2.0417129629629631</v>
      </c>
      <c r="E334" s="5">
        <v>46295</v>
      </c>
      <c r="F334" t="s">
        <v>164</v>
      </c>
      <c r="G334" t="s">
        <v>165</v>
      </c>
      <c r="H334" t="s">
        <v>26</v>
      </c>
      <c r="I334" t="s">
        <v>27</v>
      </c>
      <c r="J334" t="s">
        <v>27</v>
      </c>
      <c r="K334" t="s">
        <v>336</v>
      </c>
      <c r="L334" s="2" t="s">
        <v>32</v>
      </c>
      <c r="M334" s="8" t="s">
        <v>33</v>
      </c>
      <c r="N334" s="7">
        <v>2.16</v>
      </c>
      <c r="O334" s="2">
        <v>1</v>
      </c>
      <c r="P334" s="7">
        <v>2.16</v>
      </c>
      <c r="Q334" s="7">
        <v>0</v>
      </c>
      <c r="R334" s="7">
        <v>0.34</v>
      </c>
      <c r="S334" s="7">
        <v>2.09</v>
      </c>
      <c r="T334" s="7">
        <v>2.5</v>
      </c>
      <c r="U334">
        <v>4</v>
      </c>
      <c r="V334">
        <v>4</v>
      </c>
    </row>
    <row r="335" spans="1:22">
      <c r="A335">
        <v>331</v>
      </c>
      <c r="B335" s="4">
        <v>46296.042071759257</v>
      </c>
      <c r="C335" s="5">
        <v>46295</v>
      </c>
      <c r="D335" s="6">
        <v>2.0420717592592594</v>
      </c>
      <c r="E335" s="5">
        <v>46295</v>
      </c>
      <c r="F335" t="s">
        <v>164</v>
      </c>
      <c r="G335" t="s">
        <v>165</v>
      </c>
      <c r="H335" t="s">
        <v>26</v>
      </c>
      <c r="I335" t="s">
        <v>27</v>
      </c>
      <c r="J335" t="s">
        <v>27</v>
      </c>
      <c r="K335" t="s">
        <v>339</v>
      </c>
      <c r="L335" s="2" t="s">
        <v>53</v>
      </c>
      <c r="M335" s="8" t="s">
        <v>54</v>
      </c>
      <c r="N335" s="7">
        <v>0.38</v>
      </c>
      <c r="O335" s="2">
        <v>1</v>
      </c>
      <c r="P335" s="7">
        <v>0.38</v>
      </c>
      <c r="Q335" s="7">
        <v>0</v>
      </c>
      <c r="R335" s="7">
        <v>0.06</v>
      </c>
      <c r="S335" s="7">
        <v>0.3</v>
      </c>
      <c r="T335" s="7">
        <v>0.44</v>
      </c>
      <c r="U335">
        <v>4</v>
      </c>
      <c r="V335">
        <v>4</v>
      </c>
    </row>
    <row r="336" spans="1:22">
      <c r="A336">
        <v>332</v>
      </c>
      <c r="B336" s="4">
        <v>46296.042071759257</v>
      </c>
      <c r="C336" s="5">
        <v>46295</v>
      </c>
      <c r="D336" s="6">
        <v>2.0420949074074075</v>
      </c>
      <c r="E336" s="5">
        <v>46295</v>
      </c>
      <c r="F336" t="s">
        <v>164</v>
      </c>
      <c r="G336" t="s">
        <v>165</v>
      </c>
      <c r="H336" t="s">
        <v>26</v>
      </c>
      <c r="I336" t="s">
        <v>27</v>
      </c>
      <c r="J336" t="s">
        <v>27</v>
      </c>
      <c r="K336" t="s">
        <v>339</v>
      </c>
      <c r="L336" s="2" t="s">
        <v>53</v>
      </c>
      <c r="M336" s="8" t="s">
        <v>54</v>
      </c>
      <c r="N336" s="7">
        <v>0.38</v>
      </c>
      <c r="O336" s="2">
        <v>1</v>
      </c>
      <c r="P336" s="7">
        <v>0.38</v>
      </c>
      <c r="Q336" s="7">
        <v>0</v>
      </c>
      <c r="R336" s="7">
        <v>0.06</v>
      </c>
      <c r="S336" s="7">
        <v>0.3</v>
      </c>
      <c r="T336" s="7">
        <v>0.44</v>
      </c>
      <c r="U336">
        <v>4</v>
      </c>
      <c r="V336">
        <v>4</v>
      </c>
    </row>
    <row r="337" spans="1:22">
      <c r="A337">
        <v>333</v>
      </c>
      <c r="B337" s="4">
        <v>46296.042071759257</v>
      </c>
      <c r="C337" s="5">
        <v>46295</v>
      </c>
      <c r="D337" s="6">
        <v>2.0421527777777779</v>
      </c>
      <c r="E337" s="5">
        <v>46295</v>
      </c>
      <c r="F337" t="s">
        <v>164</v>
      </c>
      <c r="G337" t="s">
        <v>165</v>
      </c>
      <c r="H337" t="s">
        <v>26</v>
      </c>
      <c r="I337" t="s">
        <v>27</v>
      </c>
      <c r="J337" t="s">
        <v>27</v>
      </c>
      <c r="K337" t="s">
        <v>339</v>
      </c>
      <c r="L337" s="2" t="s">
        <v>109</v>
      </c>
      <c r="M337" s="8" t="s">
        <v>110</v>
      </c>
      <c r="N337" s="7">
        <v>1.08</v>
      </c>
      <c r="O337" s="2">
        <v>1</v>
      </c>
      <c r="P337" s="7">
        <v>1.08</v>
      </c>
      <c r="Q337" s="7">
        <v>0</v>
      </c>
      <c r="R337" s="7">
        <v>0.17</v>
      </c>
      <c r="S337" s="7">
        <v>0.26</v>
      </c>
      <c r="T337" s="7">
        <v>1.25</v>
      </c>
      <c r="U337">
        <v>4</v>
      </c>
      <c r="V337">
        <v>4</v>
      </c>
    </row>
    <row r="338" spans="1:22">
      <c r="A338">
        <v>334</v>
      </c>
      <c r="B338" s="4">
        <v>46296.042071759257</v>
      </c>
      <c r="C338" s="5">
        <v>46295</v>
      </c>
      <c r="D338" s="6">
        <v>2.0422685185185183</v>
      </c>
      <c r="E338" s="5">
        <v>46295</v>
      </c>
      <c r="F338" t="s">
        <v>164</v>
      </c>
      <c r="G338" t="s">
        <v>165</v>
      </c>
      <c r="H338" t="s">
        <v>26</v>
      </c>
      <c r="I338" t="s">
        <v>27</v>
      </c>
      <c r="J338" t="s">
        <v>27</v>
      </c>
      <c r="K338" t="s">
        <v>339</v>
      </c>
      <c r="L338" s="2" t="s">
        <v>340</v>
      </c>
      <c r="M338" s="8" t="s">
        <v>341</v>
      </c>
      <c r="N338" s="7">
        <v>2.16</v>
      </c>
      <c r="O338" s="2">
        <v>1</v>
      </c>
      <c r="P338" s="7">
        <v>2.16</v>
      </c>
      <c r="Q338" s="7">
        <v>0</v>
      </c>
      <c r="R338" s="7">
        <v>0.34</v>
      </c>
      <c r="S338" s="7">
        <v>2.09</v>
      </c>
      <c r="T338" s="7">
        <v>2.5</v>
      </c>
      <c r="U338">
        <v>4</v>
      </c>
      <c r="V338">
        <v>4</v>
      </c>
    </row>
    <row r="339" spans="1:22">
      <c r="A339">
        <v>335</v>
      </c>
      <c r="B339" s="4">
        <v>46296.043657407405</v>
      </c>
      <c r="C339" s="5">
        <v>46295</v>
      </c>
      <c r="D339" s="6">
        <v>2.0436458333333332</v>
      </c>
      <c r="E339" s="5">
        <v>46295</v>
      </c>
      <c r="F339" t="s">
        <v>164</v>
      </c>
      <c r="G339" t="s">
        <v>165</v>
      </c>
      <c r="H339" t="s">
        <v>26</v>
      </c>
      <c r="I339" t="s">
        <v>27</v>
      </c>
      <c r="J339" t="s">
        <v>27</v>
      </c>
      <c r="K339" t="s">
        <v>342</v>
      </c>
      <c r="L339" s="2" t="s">
        <v>109</v>
      </c>
      <c r="M339" s="8" t="s">
        <v>110</v>
      </c>
      <c r="N339" s="7">
        <v>1.08</v>
      </c>
      <c r="O339" s="2">
        <v>1</v>
      </c>
      <c r="P339" s="7">
        <v>1.08</v>
      </c>
      <c r="Q339" s="7">
        <v>0</v>
      </c>
      <c r="R339" s="7">
        <v>0.17</v>
      </c>
      <c r="S339" s="7">
        <v>0.26</v>
      </c>
      <c r="T339" s="7">
        <v>1.25</v>
      </c>
      <c r="U339">
        <v>4</v>
      </c>
      <c r="V339">
        <v>4</v>
      </c>
    </row>
    <row r="340" spans="1:22">
      <c r="A340">
        <v>336</v>
      </c>
      <c r="B340" s="4">
        <v>46296.043900462966</v>
      </c>
      <c r="C340" s="5">
        <v>46295</v>
      </c>
      <c r="D340" s="6">
        <v>2.0439004629629629</v>
      </c>
      <c r="E340" s="5">
        <v>46295</v>
      </c>
      <c r="F340" t="s">
        <v>164</v>
      </c>
      <c r="G340" t="s">
        <v>165</v>
      </c>
      <c r="H340" t="s">
        <v>26</v>
      </c>
      <c r="I340" t="s">
        <v>27</v>
      </c>
      <c r="J340" t="s">
        <v>27</v>
      </c>
      <c r="K340" t="s">
        <v>343</v>
      </c>
      <c r="L340" s="2" t="s">
        <v>143</v>
      </c>
      <c r="M340" s="8" t="s">
        <v>144</v>
      </c>
      <c r="N340" s="7">
        <v>1.25</v>
      </c>
      <c r="O340" s="2">
        <v>1</v>
      </c>
      <c r="P340" s="7">
        <v>1.25</v>
      </c>
      <c r="Q340" s="7">
        <v>0</v>
      </c>
      <c r="R340" s="7">
        <v>0</v>
      </c>
      <c r="S340" s="7">
        <v>1.21</v>
      </c>
      <c r="T340" s="7">
        <v>1.25</v>
      </c>
      <c r="U340">
        <v>4</v>
      </c>
      <c r="V340">
        <v>4</v>
      </c>
    </row>
    <row r="341" spans="1:22">
      <c r="A341">
        <v>337</v>
      </c>
      <c r="B341" s="4">
        <v>46296.043900462966</v>
      </c>
      <c r="C341" s="5">
        <v>46295</v>
      </c>
      <c r="D341" s="6">
        <v>2.0442361111111111</v>
      </c>
      <c r="E341" s="5">
        <v>46295</v>
      </c>
      <c r="F341" t="s">
        <v>164</v>
      </c>
      <c r="G341" t="s">
        <v>165</v>
      </c>
      <c r="H341" t="s">
        <v>26</v>
      </c>
      <c r="I341" t="s">
        <v>27</v>
      </c>
      <c r="J341" t="s">
        <v>27</v>
      </c>
      <c r="K341" t="s">
        <v>343</v>
      </c>
      <c r="L341" s="2" t="s">
        <v>344</v>
      </c>
      <c r="M341" s="8" t="s">
        <v>345</v>
      </c>
      <c r="N341" s="7">
        <v>0.38</v>
      </c>
      <c r="O341" s="2">
        <v>1</v>
      </c>
      <c r="P341" s="7">
        <v>0.38</v>
      </c>
      <c r="Q341" s="7">
        <v>0</v>
      </c>
      <c r="R341" s="7">
        <v>0.06</v>
      </c>
      <c r="S341" s="7">
        <v>0.37</v>
      </c>
      <c r="T341" s="7">
        <v>0.44</v>
      </c>
      <c r="U341">
        <v>4</v>
      </c>
      <c r="V341">
        <v>4</v>
      </c>
    </row>
    <row r="342" spans="1:22">
      <c r="A342">
        <v>338</v>
      </c>
      <c r="B342" s="4">
        <v>46296.089884259258</v>
      </c>
      <c r="C342" s="5">
        <v>46295</v>
      </c>
      <c r="D342" s="6">
        <v>2.0898842592592595</v>
      </c>
      <c r="E342" s="5">
        <v>46295</v>
      </c>
      <c r="F342" t="s">
        <v>164</v>
      </c>
      <c r="G342" t="s">
        <v>165</v>
      </c>
      <c r="H342" t="s">
        <v>26</v>
      </c>
      <c r="I342" t="s">
        <v>27</v>
      </c>
      <c r="J342" t="s">
        <v>27</v>
      </c>
      <c r="K342" t="s">
        <v>346</v>
      </c>
      <c r="L342" s="2" t="s">
        <v>113</v>
      </c>
      <c r="M342" s="8" t="s">
        <v>114</v>
      </c>
      <c r="N342" s="7">
        <v>1.08</v>
      </c>
      <c r="O342" s="2">
        <v>1</v>
      </c>
      <c r="P342" s="7">
        <v>1.08</v>
      </c>
      <c r="Q342" s="7">
        <v>0</v>
      </c>
      <c r="R342" s="7">
        <v>0.17</v>
      </c>
      <c r="S342" s="7">
        <v>0.26</v>
      </c>
      <c r="T342" s="7">
        <v>1.25</v>
      </c>
      <c r="U342">
        <v>4</v>
      </c>
      <c r="V342">
        <v>4</v>
      </c>
    </row>
    <row r="343" spans="1:22">
      <c r="A343">
        <v>339</v>
      </c>
      <c r="B343" s="4">
        <v>46296.089884259258</v>
      </c>
      <c r="C343" s="5">
        <v>46295</v>
      </c>
      <c r="D343" s="6">
        <v>2.0903703703703704</v>
      </c>
      <c r="E343" s="5">
        <v>46295</v>
      </c>
      <c r="F343" t="s">
        <v>164</v>
      </c>
      <c r="G343" t="s">
        <v>165</v>
      </c>
      <c r="H343" t="s">
        <v>26</v>
      </c>
      <c r="I343" t="s">
        <v>27</v>
      </c>
      <c r="J343" t="s">
        <v>27</v>
      </c>
      <c r="K343" t="s">
        <v>346</v>
      </c>
      <c r="L343" s="2" t="s">
        <v>84</v>
      </c>
      <c r="M343" s="8" t="s">
        <v>85</v>
      </c>
      <c r="N343" s="7">
        <v>1.35</v>
      </c>
      <c r="O343" s="2">
        <v>1</v>
      </c>
      <c r="P343" s="7">
        <v>1.35</v>
      </c>
      <c r="Q343" s="7">
        <v>0</v>
      </c>
      <c r="R343" s="7">
        <v>0.21</v>
      </c>
      <c r="S343" s="7">
        <v>1.3</v>
      </c>
      <c r="T343" s="7">
        <v>1.56</v>
      </c>
      <c r="U343">
        <v>4</v>
      </c>
      <c r="V343">
        <v>4</v>
      </c>
    </row>
    <row r="344" spans="1:22">
      <c r="A344">
        <v>340</v>
      </c>
      <c r="B344" s="4">
        <v>46296.096273148149</v>
      </c>
      <c r="C344" s="5">
        <v>46295</v>
      </c>
      <c r="D344" s="6">
        <v>2.0964930555555554</v>
      </c>
      <c r="E344" s="5">
        <v>46295</v>
      </c>
      <c r="F344" t="s">
        <v>164</v>
      </c>
      <c r="G344" t="s">
        <v>165</v>
      </c>
      <c r="H344" t="s">
        <v>26</v>
      </c>
      <c r="I344" t="s">
        <v>27</v>
      </c>
      <c r="J344" t="s">
        <v>27</v>
      </c>
      <c r="K344" t="s">
        <v>347</v>
      </c>
      <c r="L344" s="2" t="s">
        <v>113</v>
      </c>
      <c r="M344" s="8" t="s">
        <v>114</v>
      </c>
      <c r="N344" s="7">
        <v>1.08</v>
      </c>
      <c r="O344" s="2">
        <v>1</v>
      </c>
      <c r="P344" s="7">
        <v>1.08</v>
      </c>
      <c r="Q344" s="7">
        <v>0</v>
      </c>
      <c r="R344" s="7">
        <v>0.17</v>
      </c>
      <c r="S344" s="7">
        <v>0.26</v>
      </c>
      <c r="T344" s="7">
        <v>1.25</v>
      </c>
      <c r="U344">
        <v>4</v>
      </c>
      <c r="V344">
        <v>4</v>
      </c>
    </row>
    <row r="345" spans="1:22">
      <c r="A345">
        <v>341</v>
      </c>
      <c r="B345" s="4">
        <v>46296.096273148149</v>
      </c>
      <c r="C345" s="5">
        <v>46295</v>
      </c>
      <c r="D345" s="6">
        <v>2.0965046296296297</v>
      </c>
      <c r="E345" s="5">
        <v>46295</v>
      </c>
      <c r="F345" t="s">
        <v>164</v>
      </c>
      <c r="G345" t="s">
        <v>165</v>
      </c>
      <c r="H345" t="s">
        <v>26</v>
      </c>
      <c r="I345" t="s">
        <v>27</v>
      </c>
      <c r="J345" t="s">
        <v>27</v>
      </c>
      <c r="K345" t="s">
        <v>347</v>
      </c>
      <c r="L345" s="2" t="s">
        <v>120</v>
      </c>
      <c r="M345" s="8" t="s">
        <v>121</v>
      </c>
      <c r="N345" s="7">
        <v>0.81</v>
      </c>
      <c r="O345" s="2">
        <v>1</v>
      </c>
      <c r="P345" s="7">
        <v>0.81</v>
      </c>
      <c r="Q345" s="7">
        <v>0</v>
      </c>
      <c r="R345" s="7">
        <v>0.13</v>
      </c>
      <c r="S345" s="7">
        <v>0.79</v>
      </c>
      <c r="T345" s="7">
        <v>0.94</v>
      </c>
      <c r="U345">
        <v>5</v>
      </c>
      <c r="V345">
        <v>5</v>
      </c>
    </row>
    <row r="346" spans="1:22">
      <c r="A346">
        <v>342</v>
      </c>
      <c r="B346" s="4">
        <v>46296.123425925929</v>
      </c>
      <c r="C346" s="5">
        <v>46295</v>
      </c>
      <c r="D346" s="6">
        <v>2.123414351851852</v>
      </c>
      <c r="E346" s="5">
        <v>46295</v>
      </c>
      <c r="F346" t="s">
        <v>164</v>
      </c>
      <c r="G346" t="s">
        <v>165</v>
      </c>
      <c r="H346" t="s">
        <v>26</v>
      </c>
      <c r="I346" t="s">
        <v>27</v>
      </c>
      <c r="J346" t="s">
        <v>27</v>
      </c>
      <c r="K346" t="s">
        <v>348</v>
      </c>
      <c r="L346" s="2" t="s">
        <v>88</v>
      </c>
      <c r="M346" s="8" t="s">
        <v>89</v>
      </c>
      <c r="N346" s="7">
        <v>0.81</v>
      </c>
      <c r="O346" s="2">
        <v>1</v>
      </c>
      <c r="P346" s="7">
        <v>0.81</v>
      </c>
      <c r="Q346" s="7">
        <v>0</v>
      </c>
      <c r="R346" s="7">
        <v>0.13</v>
      </c>
      <c r="S346" s="7">
        <v>0.79</v>
      </c>
      <c r="T346" s="7">
        <v>0.94</v>
      </c>
      <c r="U346">
        <v>5</v>
      </c>
      <c r="V346">
        <v>5</v>
      </c>
    </row>
    <row r="347" spans="1:22">
      <c r="A347">
        <v>343</v>
      </c>
      <c r="B347" s="4">
        <v>46296.123425925929</v>
      </c>
      <c r="C347" s="5">
        <v>46295</v>
      </c>
      <c r="D347" s="6">
        <v>2.1792939814814813</v>
      </c>
      <c r="E347" s="5">
        <v>46295</v>
      </c>
      <c r="F347" t="s">
        <v>164</v>
      </c>
      <c r="G347" t="s">
        <v>165</v>
      </c>
      <c r="H347" t="s">
        <v>26</v>
      </c>
      <c r="I347" t="s">
        <v>27</v>
      </c>
      <c r="J347" t="s">
        <v>27</v>
      </c>
      <c r="K347" t="s">
        <v>348</v>
      </c>
      <c r="L347" s="2" t="s">
        <v>88</v>
      </c>
      <c r="M347" s="8" t="s">
        <v>89</v>
      </c>
      <c r="N347" s="7">
        <v>0.81</v>
      </c>
      <c r="O347" s="2">
        <v>1</v>
      </c>
      <c r="P347" s="7">
        <v>0.81</v>
      </c>
      <c r="Q347" s="7">
        <v>0</v>
      </c>
      <c r="R347" s="7">
        <v>0.13</v>
      </c>
      <c r="S347" s="7">
        <v>0.79</v>
      </c>
      <c r="T347" s="7">
        <v>0.94</v>
      </c>
      <c r="U347">
        <v>5</v>
      </c>
      <c r="V347">
        <v>5</v>
      </c>
    </row>
    <row r="348" spans="1:22">
      <c r="A348">
        <v>344</v>
      </c>
      <c r="B348" s="4">
        <v>46296.123425925929</v>
      </c>
      <c r="C348" s="5">
        <v>46295</v>
      </c>
      <c r="D348" s="6">
        <v>2.1793171296296294</v>
      </c>
      <c r="E348" s="5">
        <v>46295</v>
      </c>
      <c r="F348" t="s">
        <v>164</v>
      </c>
      <c r="G348" t="s">
        <v>165</v>
      </c>
      <c r="H348" t="s">
        <v>26</v>
      </c>
      <c r="I348" t="s">
        <v>27</v>
      </c>
      <c r="J348" t="s">
        <v>27</v>
      </c>
      <c r="K348" t="s">
        <v>348</v>
      </c>
      <c r="L348" s="2" t="s">
        <v>88</v>
      </c>
      <c r="M348" s="8" t="s">
        <v>89</v>
      </c>
      <c r="N348" s="7">
        <v>0.81</v>
      </c>
      <c r="O348" s="2">
        <v>1</v>
      </c>
      <c r="P348" s="7">
        <v>0.81</v>
      </c>
      <c r="Q348" s="7">
        <v>0</v>
      </c>
      <c r="R348" s="7">
        <v>0.13</v>
      </c>
      <c r="S348" s="7">
        <v>0.79</v>
      </c>
      <c r="T348" s="7">
        <v>0.94</v>
      </c>
      <c r="U348">
        <v>5</v>
      </c>
      <c r="V348">
        <v>5</v>
      </c>
    </row>
    <row r="349" spans="1:22">
      <c r="A349">
        <v>345</v>
      </c>
      <c r="B349" s="4">
        <v>46296.123425925929</v>
      </c>
      <c r="C349" s="5">
        <v>46295</v>
      </c>
      <c r="D349" s="6">
        <v>2.1793402777777779</v>
      </c>
      <c r="E349" s="5">
        <v>46295</v>
      </c>
      <c r="F349" t="s">
        <v>164</v>
      </c>
      <c r="G349" t="s">
        <v>165</v>
      </c>
      <c r="H349" t="s">
        <v>26</v>
      </c>
      <c r="I349" t="s">
        <v>27</v>
      </c>
      <c r="J349" t="s">
        <v>27</v>
      </c>
      <c r="K349" t="s">
        <v>348</v>
      </c>
      <c r="L349" s="2" t="s">
        <v>88</v>
      </c>
      <c r="M349" s="8" t="s">
        <v>89</v>
      </c>
      <c r="N349" s="7">
        <v>0.81</v>
      </c>
      <c r="O349" s="2">
        <v>1</v>
      </c>
      <c r="P349" s="7">
        <v>0.81</v>
      </c>
      <c r="Q349" s="7">
        <v>0</v>
      </c>
      <c r="R349" s="7">
        <v>0.13</v>
      </c>
      <c r="S349" s="7">
        <v>0.79</v>
      </c>
      <c r="T349" s="7">
        <v>0.94</v>
      </c>
      <c r="U349">
        <v>5</v>
      </c>
      <c r="V349">
        <v>5</v>
      </c>
    </row>
    <row r="350" spans="1:22">
      <c r="A350">
        <v>346</v>
      </c>
      <c r="B350" s="4">
        <v>46296.288055555553</v>
      </c>
      <c r="C350" s="5">
        <v>46295</v>
      </c>
      <c r="D350" s="6">
        <v>2.2880555555555557</v>
      </c>
      <c r="E350" s="5">
        <v>46295</v>
      </c>
      <c r="F350" t="s">
        <v>164</v>
      </c>
      <c r="G350" t="s">
        <v>165</v>
      </c>
      <c r="H350" t="s">
        <v>26</v>
      </c>
      <c r="I350" t="s">
        <v>27</v>
      </c>
      <c r="J350" t="s">
        <v>27</v>
      </c>
      <c r="K350" t="s">
        <v>349</v>
      </c>
      <c r="L350" s="2" t="s">
        <v>63</v>
      </c>
      <c r="M350" s="8" t="s">
        <v>64</v>
      </c>
      <c r="N350" s="7">
        <v>1.9</v>
      </c>
      <c r="O350" s="2">
        <v>1</v>
      </c>
      <c r="P350" s="7">
        <v>1.9</v>
      </c>
      <c r="Q350" s="7">
        <v>0</v>
      </c>
      <c r="R350" s="7">
        <v>0.28999999999999998</v>
      </c>
      <c r="S350" s="7">
        <v>1.83</v>
      </c>
      <c r="T350" s="7">
        <v>2.19</v>
      </c>
      <c r="U350">
        <v>5</v>
      </c>
      <c r="V350">
        <v>5</v>
      </c>
    </row>
    <row r="351" spans="1:22">
      <c r="A351">
        <v>347</v>
      </c>
      <c r="B351" s="4">
        <v>46296.304513888892</v>
      </c>
      <c r="C351" s="5">
        <v>46296</v>
      </c>
      <c r="D351" s="6">
        <v>2.3045138888888888</v>
      </c>
      <c r="E351" s="5">
        <v>46296</v>
      </c>
      <c r="F351" t="s">
        <v>24</v>
      </c>
      <c r="G351" t="s">
        <v>25</v>
      </c>
      <c r="H351" t="s">
        <v>26</v>
      </c>
      <c r="I351" t="s">
        <v>27</v>
      </c>
      <c r="J351" t="s">
        <v>27</v>
      </c>
      <c r="K351" t="s">
        <v>350</v>
      </c>
      <c r="L351" s="2" t="s">
        <v>351</v>
      </c>
      <c r="M351" s="8" t="s">
        <v>352</v>
      </c>
      <c r="N351" s="7">
        <v>4.38</v>
      </c>
      <c r="O351" s="2">
        <v>1</v>
      </c>
      <c r="P351" s="7">
        <v>4.38</v>
      </c>
      <c r="Q351" s="7">
        <v>0</v>
      </c>
      <c r="R351" s="7">
        <v>0</v>
      </c>
      <c r="S351" s="7">
        <v>4.2300000000000004</v>
      </c>
      <c r="T351" s="7">
        <v>4.38</v>
      </c>
      <c r="U351">
        <v>5</v>
      </c>
      <c r="V351">
        <v>5</v>
      </c>
    </row>
    <row r="352" spans="1:22">
      <c r="A352">
        <v>348</v>
      </c>
      <c r="B352" s="4">
        <v>46296.304513888892</v>
      </c>
      <c r="C352" s="5">
        <v>46296</v>
      </c>
      <c r="D352" s="6">
        <v>2.3047800925925928</v>
      </c>
      <c r="E352" s="5">
        <v>46296</v>
      </c>
      <c r="F352" t="s">
        <v>24</v>
      </c>
      <c r="G352" t="s">
        <v>25</v>
      </c>
      <c r="H352" t="s">
        <v>26</v>
      </c>
      <c r="I352" t="s">
        <v>27</v>
      </c>
      <c r="J352" t="s">
        <v>27</v>
      </c>
      <c r="K352" t="s">
        <v>350</v>
      </c>
      <c r="L352" s="2" t="s">
        <v>81</v>
      </c>
      <c r="M352" s="8" t="s">
        <v>82</v>
      </c>
      <c r="N352" s="7">
        <v>1.08</v>
      </c>
      <c r="O352" s="2">
        <v>3</v>
      </c>
      <c r="P352" s="7">
        <v>3.24</v>
      </c>
      <c r="Q352" s="7">
        <v>0</v>
      </c>
      <c r="R352" s="7">
        <v>0.5</v>
      </c>
      <c r="S352" s="7">
        <v>0.77</v>
      </c>
      <c r="T352" s="7">
        <v>3.74</v>
      </c>
      <c r="U352">
        <v>5</v>
      </c>
      <c r="V352">
        <v>5</v>
      </c>
    </row>
    <row r="353" spans="1:22">
      <c r="A353">
        <v>349</v>
      </c>
      <c r="B353" s="4">
        <v>46296.304513888892</v>
      </c>
      <c r="C353" s="5">
        <v>46296</v>
      </c>
      <c r="D353" s="6">
        <v>2.3049421296296297</v>
      </c>
      <c r="E353" s="5">
        <v>46296</v>
      </c>
      <c r="F353" t="s">
        <v>24</v>
      </c>
      <c r="G353" t="s">
        <v>25</v>
      </c>
      <c r="H353" t="s">
        <v>26</v>
      </c>
      <c r="I353" t="s">
        <v>27</v>
      </c>
      <c r="J353" t="s">
        <v>27</v>
      </c>
      <c r="K353" t="s">
        <v>350</v>
      </c>
      <c r="L353" s="2" t="s">
        <v>140</v>
      </c>
      <c r="M353" s="8" t="s">
        <v>141</v>
      </c>
      <c r="N353" s="7">
        <v>0.55000000000000004</v>
      </c>
      <c r="O353" s="2">
        <v>2</v>
      </c>
      <c r="P353" s="7">
        <v>1.1000000000000001</v>
      </c>
      <c r="Q353" s="7">
        <v>0</v>
      </c>
      <c r="R353" s="7">
        <v>0.17</v>
      </c>
      <c r="S353" s="7">
        <v>1.06</v>
      </c>
      <c r="T353" s="7">
        <v>1.27</v>
      </c>
      <c r="U353">
        <v>5</v>
      </c>
      <c r="V353">
        <v>5</v>
      </c>
    </row>
    <row r="354" spans="1:22">
      <c r="A354">
        <v>350</v>
      </c>
      <c r="B354" s="4">
        <v>46296.317199074074</v>
      </c>
      <c r="C354" s="5">
        <v>46296</v>
      </c>
      <c r="D354" s="6">
        <v>2.3171875000000002</v>
      </c>
      <c r="E354" s="5">
        <v>46296</v>
      </c>
      <c r="F354" t="s">
        <v>24</v>
      </c>
      <c r="G354" t="s">
        <v>25</v>
      </c>
      <c r="H354" t="s">
        <v>26</v>
      </c>
      <c r="I354" t="s">
        <v>27</v>
      </c>
      <c r="J354" t="s">
        <v>27</v>
      </c>
      <c r="K354" t="s">
        <v>353</v>
      </c>
      <c r="L354" s="2" t="s">
        <v>47</v>
      </c>
      <c r="M354" s="8" t="s">
        <v>48</v>
      </c>
      <c r="N354" s="7">
        <v>0.05</v>
      </c>
      <c r="O354" s="2">
        <v>5</v>
      </c>
      <c r="P354" s="7">
        <v>0.25</v>
      </c>
      <c r="Q354" s="7">
        <v>0</v>
      </c>
      <c r="R354" s="7">
        <v>0.04</v>
      </c>
      <c r="S354" s="7">
        <v>0.11</v>
      </c>
      <c r="T354" s="7">
        <v>0.28999999999999998</v>
      </c>
      <c r="U354">
        <v>5</v>
      </c>
      <c r="V354">
        <v>5</v>
      </c>
    </row>
    <row r="355" spans="1:22">
      <c r="A355">
        <v>351</v>
      </c>
      <c r="B355" s="4">
        <v>46296.326805555553</v>
      </c>
      <c r="C355" s="5">
        <v>46296</v>
      </c>
      <c r="D355" s="6">
        <v>2.3267939814814813</v>
      </c>
      <c r="E355" s="5">
        <v>46296</v>
      </c>
      <c r="F355" t="s">
        <v>24</v>
      </c>
      <c r="G355" t="s">
        <v>25</v>
      </c>
      <c r="H355" t="s">
        <v>26</v>
      </c>
      <c r="I355" t="s">
        <v>27</v>
      </c>
      <c r="J355" t="s">
        <v>27</v>
      </c>
      <c r="K355" t="s">
        <v>354</v>
      </c>
      <c r="L355" s="2" t="s">
        <v>236</v>
      </c>
      <c r="M355" s="8" t="s">
        <v>237</v>
      </c>
      <c r="N355" s="7">
        <v>5.14</v>
      </c>
      <c r="O355" s="2">
        <v>2</v>
      </c>
      <c r="P355" s="7">
        <v>10.28</v>
      </c>
      <c r="Q355" s="7">
        <v>0</v>
      </c>
      <c r="R355" s="7">
        <v>1.59</v>
      </c>
      <c r="S355" s="7">
        <v>2.36</v>
      </c>
      <c r="T355" s="7">
        <v>11.87</v>
      </c>
      <c r="U355">
        <v>5</v>
      </c>
      <c r="V355">
        <v>5</v>
      </c>
    </row>
    <row r="356" spans="1:22">
      <c r="A356">
        <v>352</v>
      </c>
      <c r="B356" s="4">
        <v>46296.326805555553</v>
      </c>
      <c r="C356" s="5">
        <v>46296</v>
      </c>
      <c r="D356" s="6">
        <v>2.3269907407407406</v>
      </c>
      <c r="E356" s="5">
        <v>46296</v>
      </c>
      <c r="F356" t="s">
        <v>24</v>
      </c>
      <c r="G356" t="s">
        <v>25</v>
      </c>
      <c r="H356" t="s">
        <v>26</v>
      </c>
      <c r="I356" t="s">
        <v>27</v>
      </c>
      <c r="J356" t="s">
        <v>27</v>
      </c>
      <c r="K356" t="s">
        <v>354</v>
      </c>
      <c r="L356" s="2" t="s">
        <v>143</v>
      </c>
      <c r="M356" s="8" t="s">
        <v>144</v>
      </c>
      <c r="N356" s="7">
        <v>1.25</v>
      </c>
      <c r="O356" s="2">
        <v>1</v>
      </c>
      <c r="P356" s="7">
        <v>1.25</v>
      </c>
      <c r="Q356" s="7">
        <v>0</v>
      </c>
      <c r="R356" s="7">
        <v>0</v>
      </c>
      <c r="S356" s="7">
        <v>1.21</v>
      </c>
      <c r="T356" s="7">
        <v>1.25</v>
      </c>
      <c r="U356">
        <v>5</v>
      </c>
      <c r="V356">
        <v>5</v>
      </c>
    </row>
    <row r="357" spans="1:22">
      <c r="A357">
        <v>353</v>
      </c>
      <c r="B357" s="4">
        <v>46296.326805555553</v>
      </c>
      <c r="C357" s="5">
        <v>46296</v>
      </c>
      <c r="D357" s="6">
        <v>2.3271643518518519</v>
      </c>
      <c r="E357" s="5">
        <v>46296</v>
      </c>
      <c r="F357" t="s">
        <v>24</v>
      </c>
      <c r="G357" t="s">
        <v>25</v>
      </c>
      <c r="H357" t="s">
        <v>26</v>
      </c>
      <c r="I357" t="s">
        <v>27</v>
      </c>
      <c r="J357" t="s">
        <v>27</v>
      </c>
      <c r="K357" t="s">
        <v>354</v>
      </c>
      <c r="L357" s="2" t="s">
        <v>355</v>
      </c>
      <c r="M357" s="8" t="s">
        <v>356</v>
      </c>
      <c r="N357" s="7">
        <v>4.33</v>
      </c>
      <c r="O357" s="2">
        <v>1</v>
      </c>
      <c r="P357" s="7">
        <v>4.33</v>
      </c>
      <c r="Q357" s="7">
        <v>0</v>
      </c>
      <c r="R357" s="7">
        <v>0.67</v>
      </c>
      <c r="S357" s="7">
        <v>1.68</v>
      </c>
      <c r="T357" s="7">
        <v>5</v>
      </c>
      <c r="U357">
        <v>5</v>
      </c>
      <c r="V357">
        <v>5</v>
      </c>
    </row>
    <row r="358" spans="1:22">
      <c r="A358">
        <v>354</v>
      </c>
      <c r="B358" s="4">
        <v>46296.327719907407</v>
      </c>
      <c r="C358" s="5">
        <v>46296</v>
      </c>
      <c r="D358" s="6">
        <v>2.3277083333333333</v>
      </c>
      <c r="E358" s="5">
        <v>46296</v>
      </c>
      <c r="F358" t="s">
        <v>24</v>
      </c>
      <c r="G358" t="s">
        <v>25</v>
      </c>
      <c r="H358" t="s">
        <v>26</v>
      </c>
      <c r="I358" t="s">
        <v>27</v>
      </c>
      <c r="J358" t="s">
        <v>27</v>
      </c>
      <c r="K358" t="s">
        <v>357</v>
      </c>
      <c r="L358" s="2" t="s">
        <v>109</v>
      </c>
      <c r="M358" s="8" t="s">
        <v>110</v>
      </c>
      <c r="N358" s="7">
        <v>1.08</v>
      </c>
      <c r="O358" s="2">
        <v>1</v>
      </c>
      <c r="P358" s="7">
        <v>1.08</v>
      </c>
      <c r="Q358" s="7">
        <v>0</v>
      </c>
      <c r="R358" s="7">
        <v>0.17</v>
      </c>
      <c r="S358" s="7">
        <v>0.26</v>
      </c>
      <c r="T358" s="7">
        <v>1.25</v>
      </c>
      <c r="U358">
        <v>5</v>
      </c>
      <c r="V358">
        <v>5</v>
      </c>
    </row>
    <row r="359" spans="1:22">
      <c r="A359">
        <v>355</v>
      </c>
      <c r="B359" s="4">
        <v>46296.327719907407</v>
      </c>
      <c r="C359" s="5">
        <v>46296</v>
      </c>
      <c r="D359" s="6">
        <v>2.3281828703703704</v>
      </c>
      <c r="E359" s="5">
        <v>46296</v>
      </c>
      <c r="F359" t="s">
        <v>24</v>
      </c>
      <c r="G359" t="s">
        <v>25</v>
      </c>
      <c r="H359" t="s">
        <v>26</v>
      </c>
      <c r="I359" t="s">
        <v>27</v>
      </c>
      <c r="J359" t="s">
        <v>27</v>
      </c>
      <c r="K359" t="s">
        <v>357</v>
      </c>
      <c r="L359" s="2" t="s">
        <v>29</v>
      </c>
      <c r="M359" s="8" t="s">
        <v>30</v>
      </c>
      <c r="N359" s="7">
        <v>0.81</v>
      </c>
      <c r="O359" s="2">
        <v>1</v>
      </c>
      <c r="P359" s="7">
        <v>0.81</v>
      </c>
      <c r="Q359" s="7">
        <v>0</v>
      </c>
      <c r="R359" s="7">
        <v>0.13</v>
      </c>
      <c r="S359" s="7">
        <v>0.43</v>
      </c>
      <c r="T359" s="7">
        <v>0.94</v>
      </c>
      <c r="U359">
        <v>5</v>
      </c>
      <c r="V359">
        <v>5</v>
      </c>
    </row>
    <row r="360" spans="1:22">
      <c r="A360">
        <v>356</v>
      </c>
      <c r="B360" s="4">
        <v>46296.327719907407</v>
      </c>
      <c r="C360" s="5">
        <v>46296</v>
      </c>
      <c r="D360" s="6">
        <v>2.3284375000000002</v>
      </c>
      <c r="E360" s="5">
        <v>46296</v>
      </c>
      <c r="F360" t="s">
        <v>24</v>
      </c>
      <c r="G360" t="s">
        <v>25</v>
      </c>
      <c r="H360" t="s">
        <v>26</v>
      </c>
      <c r="I360" t="s">
        <v>27</v>
      </c>
      <c r="J360" t="s">
        <v>27</v>
      </c>
      <c r="K360" t="s">
        <v>357</v>
      </c>
      <c r="L360" s="2" t="s">
        <v>29</v>
      </c>
      <c r="M360" s="8" t="s">
        <v>30</v>
      </c>
      <c r="N360" s="7">
        <v>0.81</v>
      </c>
      <c r="O360" s="2">
        <v>1</v>
      </c>
      <c r="P360" s="7">
        <v>0.81</v>
      </c>
      <c r="Q360" s="7">
        <v>0</v>
      </c>
      <c r="R360" s="7">
        <v>0.13</v>
      </c>
      <c r="S360" s="7">
        <v>0.43</v>
      </c>
      <c r="T360" s="7">
        <v>0.94</v>
      </c>
      <c r="U360">
        <v>5</v>
      </c>
      <c r="V360">
        <v>5</v>
      </c>
    </row>
    <row r="361" spans="1:22">
      <c r="A361">
        <v>357</v>
      </c>
      <c r="B361" s="4">
        <v>46296.335868055554</v>
      </c>
      <c r="C361" s="5">
        <v>46296</v>
      </c>
      <c r="D361" s="6">
        <v>2.3358680555555558</v>
      </c>
      <c r="E361" s="5">
        <v>46296</v>
      </c>
      <c r="F361" t="s">
        <v>24</v>
      </c>
      <c r="G361" t="s">
        <v>25</v>
      </c>
      <c r="H361" t="s">
        <v>26</v>
      </c>
      <c r="I361" t="s">
        <v>27</v>
      </c>
      <c r="J361" t="s">
        <v>27</v>
      </c>
      <c r="K361" t="s">
        <v>358</v>
      </c>
      <c r="L361" s="2" t="s">
        <v>229</v>
      </c>
      <c r="M361" s="8" t="s">
        <v>230</v>
      </c>
      <c r="N361" s="7">
        <v>0.81</v>
      </c>
      <c r="O361" s="2">
        <v>1</v>
      </c>
      <c r="P361" s="7">
        <v>0.81</v>
      </c>
      <c r="Q361" s="7">
        <v>0</v>
      </c>
      <c r="R361" s="7">
        <v>0.13</v>
      </c>
      <c r="S361" s="7">
        <v>0.79</v>
      </c>
      <c r="T361" s="7">
        <v>0.94</v>
      </c>
      <c r="U361">
        <v>5</v>
      </c>
      <c r="V361">
        <v>5</v>
      </c>
    </row>
    <row r="362" spans="1:22">
      <c r="A362">
        <v>358</v>
      </c>
      <c r="B362" s="4">
        <v>46296.335868055554</v>
      </c>
      <c r="C362" s="5">
        <v>46296</v>
      </c>
      <c r="D362" s="6">
        <v>2.3366666666666664</v>
      </c>
      <c r="E362" s="5">
        <v>46296</v>
      </c>
      <c r="F362" t="s">
        <v>24</v>
      </c>
      <c r="G362" t="s">
        <v>25</v>
      </c>
      <c r="H362" t="s">
        <v>26</v>
      </c>
      <c r="I362" t="s">
        <v>27</v>
      </c>
      <c r="J362" t="s">
        <v>27</v>
      </c>
      <c r="K362" t="s">
        <v>358</v>
      </c>
      <c r="L362" s="2" t="s">
        <v>290</v>
      </c>
      <c r="M362" s="8" t="s">
        <v>291</v>
      </c>
      <c r="N362" s="7">
        <v>0.55000000000000004</v>
      </c>
      <c r="O362" s="2">
        <v>1</v>
      </c>
      <c r="P362" s="7">
        <v>0.55000000000000004</v>
      </c>
      <c r="Q362" s="7">
        <v>0</v>
      </c>
      <c r="R362" s="7">
        <v>0.08</v>
      </c>
      <c r="S362" s="7">
        <v>0.24</v>
      </c>
      <c r="T362" s="7">
        <v>0.63</v>
      </c>
      <c r="U362">
        <v>5</v>
      </c>
      <c r="V362">
        <v>5</v>
      </c>
    </row>
    <row r="363" spans="1:22">
      <c r="A363">
        <v>359</v>
      </c>
      <c r="B363" s="4">
        <v>46296.337777777779</v>
      </c>
      <c r="C363" s="5">
        <v>46296</v>
      </c>
      <c r="D363" s="6">
        <v>2.3377777777777777</v>
      </c>
      <c r="E363" s="5">
        <v>46296</v>
      </c>
      <c r="F363" t="s">
        <v>24</v>
      </c>
      <c r="G363" t="s">
        <v>25</v>
      </c>
      <c r="H363" t="s">
        <v>26</v>
      </c>
      <c r="I363" t="s">
        <v>27</v>
      </c>
      <c r="J363" t="s">
        <v>27</v>
      </c>
      <c r="K363" t="s">
        <v>359</v>
      </c>
      <c r="L363" s="2" t="s">
        <v>224</v>
      </c>
      <c r="M363" s="8" t="s">
        <v>225</v>
      </c>
      <c r="N363" s="7">
        <v>0.81</v>
      </c>
      <c r="O363" s="2">
        <v>1</v>
      </c>
      <c r="P363" s="7">
        <v>0.81</v>
      </c>
      <c r="Q363" s="7">
        <v>0</v>
      </c>
      <c r="R363" s="7">
        <v>0.13</v>
      </c>
      <c r="S363" s="7">
        <v>0.79</v>
      </c>
      <c r="T363" s="7">
        <v>0.94</v>
      </c>
      <c r="U363">
        <v>5</v>
      </c>
      <c r="V363">
        <v>5</v>
      </c>
    </row>
    <row r="364" spans="1:22">
      <c r="A364">
        <v>360</v>
      </c>
      <c r="B364" s="4">
        <v>46296.337777777779</v>
      </c>
      <c r="C364" s="5">
        <v>46296</v>
      </c>
      <c r="D364" s="6">
        <v>2.3378703703703705</v>
      </c>
      <c r="E364" s="5">
        <v>46296</v>
      </c>
      <c r="F364" t="s">
        <v>24</v>
      </c>
      <c r="G364" t="s">
        <v>25</v>
      </c>
      <c r="H364" t="s">
        <v>26</v>
      </c>
      <c r="I364" t="s">
        <v>27</v>
      </c>
      <c r="J364" t="s">
        <v>27</v>
      </c>
      <c r="K364" t="s">
        <v>359</v>
      </c>
      <c r="L364" s="2" t="s">
        <v>143</v>
      </c>
      <c r="M364" s="8" t="s">
        <v>144</v>
      </c>
      <c r="N364" s="7">
        <v>1.25</v>
      </c>
      <c r="O364" s="2">
        <v>1</v>
      </c>
      <c r="P364" s="7">
        <v>1.25</v>
      </c>
      <c r="Q364" s="7">
        <v>0</v>
      </c>
      <c r="R364" s="7">
        <v>0</v>
      </c>
      <c r="S364" s="7">
        <v>1.21</v>
      </c>
      <c r="T364" s="7">
        <v>1.25</v>
      </c>
      <c r="U364">
        <v>5</v>
      </c>
      <c r="V364">
        <v>5</v>
      </c>
    </row>
    <row r="365" spans="1:22">
      <c r="A365">
        <v>361</v>
      </c>
      <c r="B365" s="4">
        <v>46296.343726851854</v>
      </c>
      <c r="C365" s="5">
        <v>46296</v>
      </c>
      <c r="D365" s="6">
        <v>2.3444675925925926</v>
      </c>
      <c r="E365" s="5">
        <v>46296</v>
      </c>
      <c r="F365" t="s">
        <v>24</v>
      </c>
      <c r="G365" t="s">
        <v>25</v>
      </c>
      <c r="H365" t="s">
        <v>26</v>
      </c>
      <c r="I365" t="s">
        <v>27</v>
      </c>
      <c r="J365" t="s">
        <v>27</v>
      </c>
      <c r="K365" t="s">
        <v>360</v>
      </c>
      <c r="L365" s="2" t="s">
        <v>229</v>
      </c>
      <c r="M365" s="8" t="s">
        <v>230</v>
      </c>
      <c r="N365" s="7">
        <v>0.81</v>
      </c>
      <c r="O365" s="2">
        <v>1</v>
      </c>
      <c r="P365" s="7">
        <v>0.81</v>
      </c>
      <c r="Q365" s="7">
        <v>0</v>
      </c>
      <c r="R365" s="7">
        <v>0.13</v>
      </c>
      <c r="S365" s="7">
        <v>0.79</v>
      </c>
      <c r="T365" s="7">
        <v>0.94</v>
      </c>
      <c r="U365">
        <v>5</v>
      </c>
      <c r="V365">
        <v>5</v>
      </c>
    </row>
    <row r="366" spans="1:22">
      <c r="A366">
        <v>362</v>
      </c>
      <c r="B366" s="4">
        <v>46296.345902777779</v>
      </c>
      <c r="C366" s="5">
        <v>46296</v>
      </c>
      <c r="D366" s="6">
        <v>2.3458912037037036</v>
      </c>
      <c r="E366" s="5">
        <v>46296</v>
      </c>
      <c r="F366" t="s">
        <v>24</v>
      </c>
      <c r="G366" t="s">
        <v>25</v>
      </c>
      <c r="H366" t="s">
        <v>26</v>
      </c>
      <c r="I366" t="s">
        <v>27</v>
      </c>
      <c r="J366" t="s">
        <v>27</v>
      </c>
      <c r="K366" t="s">
        <v>361</v>
      </c>
      <c r="L366" s="2" t="s">
        <v>146</v>
      </c>
      <c r="M366" s="8" t="s">
        <v>147</v>
      </c>
      <c r="N366" s="7">
        <v>2.16</v>
      </c>
      <c r="O366" s="2">
        <v>1</v>
      </c>
      <c r="P366" s="7">
        <v>2.16</v>
      </c>
      <c r="Q366" s="7">
        <v>0</v>
      </c>
      <c r="R366" s="7">
        <v>0.34</v>
      </c>
      <c r="S366" s="7">
        <v>2.09</v>
      </c>
      <c r="T366" s="7">
        <v>2.5</v>
      </c>
      <c r="U366">
        <v>5</v>
      </c>
      <c r="V366">
        <v>5</v>
      </c>
    </row>
    <row r="367" spans="1:22">
      <c r="A367">
        <v>363</v>
      </c>
      <c r="B367" s="4">
        <v>46296.348078703704</v>
      </c>
      <c r="C367" s="5">
        <v>46296</v>
      </c>
      <c r="D367" s="6">
        <v>2.3480787037037039</v>
      </c>
      <c r="E367" s="5">
        <v>46296</v>
      </c>
      <c r="F367" t="s">
        <v>24</v>
      </c>
      <c r="G367" t="s">
        <v>25</v>
      </c>
      <c r="H367" t="s">
        <v>26</v>
      </c>
      <c r="I367" t="s">
        <v>27</v>
      </c>
      <c r="J367" t="s">
        <v>27</v>
      </c>
      <c r="K367" t="s">
        <v>362</v>
      </c>
      <c r="L367" s="2" t="s">
        <v>47</v>
      </c>
      <c r="M367" s="8" t="s">
        <v>48</v>
      </c>
      <c r="N367" s="7">
        <v>0.05</v>
      </c>
      <c r="O367" s="2">
        <v>1</v>
      </c>
      <c r="P367" s="7">
        <v>0.05</v>
      </c>
      <c r="Q367" s="7">
        <v>0</v>
      </c>
      <c r="R367" s="7">
        <v>0.01</v>
      </c>
      <c r="S367" s="7">
        <v>0.02</v>
      </c>
      <c r="T367" s="7">
        <v>0.06</v>
      </c>
      <c r="U367">
        <v>5</v>
      </c>
      <c r="V367">
        <v>5</v>
      </c>
    </row>
    <row r="368" spans="1:22">
      <c r="A368">
        <v>364</v>
      </c>
      <c r="B368" s="4">
        <v>46296.349178240744</v>
      </c>
      <c r="C368" s="5">
        <v>46296</v>
      </c>
      <c r="D368" s="6">
        <v>2.3491782407407409</v>
      </c>
      <c r="E368" s="5">
        <v>46296</v>
      </c>
      <c r="F368" t="s">
        <v>24</v>
      </c>
      <c r="G368" t="s">
        <v>25</v>
      </c>
      <c r="H368" t="s">
        <v>26</v>
      </c>
      <c r="I368" t="s">
        <v>27</v>
      </c>
      <c r="J368" t="s">
        <v>27</v>
      </c>
      <c r="K368" t="s">
        <v>363</v>
      </c>
      <c r="L368" s="3" t="s">
        <v>231</v>
      </c>
      <c r="M368" s="8" t="s">
        <v>232</v>
      </c>
      <c r="N368" s="7">
        <v>0.55000000000000004</v>
      </c>
      <c r="O368" s="2">
        <v>1</v>
      </c>
      <c r="P368" s="7">
        <v>0.55000000000000004</v>
      </c>
      <c r="Q368" s="7">
        <v>0</v>
      </c>
      <c r="R368" s="7">
        <v>0.08</v>
      </c>
      <c r="S368" s="7">
        <v>0.54</v>
      </c>
      <c r="T368" s="7">
        <v>0.63</v>
      </c>
      <c r="U368">
        <v>5</v>
      </c>
      <c r="V368">
        <v>5</v>
      </c>
    </row>
    <row r="369" spans="1:22">
      <c r="A369">
        <v>365</v>
      </c>
      <c r="B369" s="4">
        <v>46296.354479166665</v>
      </c>
      <c r="C369" s="5">
        <v>46296</v>
      </c>
      <c r="D369" s="6">
        <v>2.3544791666666667</v>
      </c>
      <c r="E369" s="5">
        <v>46296</v>
      </c>
      <c r="F369" t="s">
        <v>24</v>
      </c>
      <c r="G369" t="s">
        <v>25</v>
      </c>
      <c r="H369" t="s">
        <v>26</v>
      </c>
      <c r="I369" t="s">
        <v>27</v>
      </c>
      <c r="J369" t="s">
        <v>27</v>
      </c>
      <c r="K369" t="s">
        <v>364</v>
      </c>
      <c r="L369" s="2" t="s">
        <v>59</v>
      </c>
      <c r="M369" s="8" t="s">
        <v>60</v>
      </c>
      <c r="N369" s="7">
        <v>0.31</v>
      </c>
      <c r="O369" s="2">
        <v>1</v>
      </c>
      <c r="P369" s="7">
        <v>0.31</v>
      </c>
      <c r="Q369" s="7">
        <v>0</v>
      </c>
      <c r="R369" s="7">
        <v>0</v>
      </c>
      <c r="S369" s="7">
        <v>0.3</v>
      </c>
      <c r="T369" s="7">
        <v>0.31</v>
      </c>
      <c r="U369">
        <v>5</v>
      </c>
      <c r="V369">
        <v>5</v>
      </c>
    </row>
    <row r="370" spans="1:22">
      <c r="A370">
        <v>366</v>
      </c>
      <c r="B370" s="4">
        <v>46296.356168981481</v>
      </c>
      <c r="C370" s="5">
        <v>46296</v>
      </c>
      <c r="D370" s="6">
        <v>2.3562384259259259</v>
      </c>
      <c r="E370" s="5">
        <v>46296</v>
      </c>
      <c r="F370" t="s">
        <v>24</v>
      </c>
      <c r="G370" t="s">
        <v>25</v>
      </c>
      <c r="H370" t="s">
        <v>26</v>
      </c>
      <c r="I370" t="s">
        <v>27</v>
      </c>
      <c r="J370" t="s">
        <v>27</v>
      </c>
      <c r="K370" t="s">
        <v>365</v>
      </c>
      <c r="L370" s="2" t="s">
        <v>66</v>
      </c>
      <c r="M370" s="8" t="s">
        <v>67</v>
      </c>
      <c r="N370" s="7">
        <v>2.19</v>
      </c>
      <c r="O370" s="2">
        <v>1</v>
      </c>
      <c r="P370" s="7">
        <v>2.19</v>
      </c>
      <c r="Q370" s="7">
        <v>0</v>
      </c>
      <c r="R370" s="7">
        <v>0</v>
      </c>
      <c r="S370" s="7">
        <v>2.1</v>
      </c>
      <c r="T370" s="7">
        <v>2.19</v>
      </c>
      <c r="U370">
        <v>5</v>
      </c>
      <c r="V370">
        <v>5</v>
      </c>
    </row>
    <row r="371" spans="1:22">
      <c r="A371">
        <v>367</v>
      </c>
      <c r="B371" s="4">
        <v>46296.356168981481</v>
      </c>
      <c r="C371" s="5">
        <v>46296</v>
      </c>
      <c r="D371" s="6">
        <v>2.3568055555555554</v>
      </c>
      <c r="E371" s="5">
        <v>46296</v>
      </c>
      <c r="F371" t="s">
        <v>24</v>
      </c>
      <c r="G371" t="s">
        <v>25</v>
      </c>
      <c r="H371" t="s">
        <v>26</v>
      </c>
      <c r="I371" t="s">
        <v>27</v>
      </c>
      <c r="J371" t="s">
        <v>27</v>
      </c>
      <c r="K371" t="s">
        <v>365</v>
      </c>
      <c r="L371" s="2" t="s">
        <v>265</v>
      </c>
      <c r="M371" s="8" t="s">
        <v>266</v>
      </c>
      <c r="N371" s="7">
        <v>1.9</v>
      </c>
      <c r="O371" s="2">
        <v>1</v>
      </c>
      <c r="P371" s="7">
        <v>1.9</v>
      </c>
      <c r="Q371" s="7">
        <v>0</v>
      </c>
      <c r="R371" s="7">
        <v>0.28999999999999998</v>
      </c>
      <c r="S371" s="7">
        <v>0.56999999999999995</v>
      </c>
      <c r="T371" s="7">
        <v>2.19</v>
      </c>
      <c r="U371">
        <v>5</v>
      </c>
      <c r="V371">
        <v>5</v>
      </c>
    </row>
    <row r="372" spans="1:22">
      <c r="A372">
        <v>368</v>
      </c>
      <c r="B372" s="4">
        <v>46296.357083333336</v>
      </c>
      <c r="C372" s="5">
        <v>46296</v>
      </c>
      <c r="D372" s="6">
        <v>2.3570717592592594</v>
      </c>
      <c r="E372" s="5">
        <v>46296</v>
      </c>
      <c r="F372" t="s">
        <v>24</v>
      </c>
      <c r="G372" t="s">
        <v>25</v>
      </c>
      <c r="H372" t="s">
        <v>26</v>
      </c>
      <c r="I372" t="s">
        <v>27</v>
      </c>
      <c r="J372" t="s">
        <v>27</v>
      </c>
      <c r="K372" t="s">
        <v>366</v>
      </c>
      <c r="L372" s="2" t="s">
        <v>29</v>
      </c>
      <c r="M372" s="8" t="s">
        <v>30</v>
      </c>
      <c r="N372" s="7">
        <v>0.81</v>
      </c>
      <c r="O372" s="2">
        <v>1</v>
      </c>
      <c r="P372" s="7">
        <v>0.81</v>
      </c>
      <c r="Q372" s="7">
        <v>0</v>
      </c>
      <c r="R372" s="7">
        <v>0.13</v>
      </c>
      <c r="S372" s="7">
        <v>0.43</v>
      </c>
      <c r="T372" s="7">
        <v>0.94</v>
      </c>
      <c r="U372">
        <v>5</v>
      </c>
      <c r="V372">
        <v>5</v>
      </c>
    </row>
    <row r="373" spans="1:22">
      <c r="A373">
        <v>369</v>
      </c>
      <c r="B373" s="4">
        <v>46296.357997685183</v>
      </c>
      <c r="C373" s="5">
        <v>46296</v>
      </c>
      <c r="D373" s="6">
        <v>2.3579976851851852</v>
      </c>
      <c r="E373" s="5">
        <v>46296</v>
      </c>
      <c r="F373" t="s">
        <v>24</v>
      </c>
      <c r="G373" t="s">
        <v>25</v>
      </c>
      <c r="H373" t="s">
        <v>26</v>
      </c>
      <c r="I373" t="s">
        <v>27</v>
      </c>
      <c r="J373" t="s">
        <v>27</v>
      </c>
      <c r="K373" t="s">
        <v>367</v>
      </c>
      <c r="L373" s="2" t="s">
        <v>38</v>
      </c>
      <c r="M373" s="8" t="s">
        <v>39</v>
      </c>
      <c r="N373" s="7">
        <v>0.03</v>
      </c>
      <c r="O373" s="2">
        <v>10</v>
      </c>
      <c r="P373" s="7">
        <v>0.3</v>
      </c>
      <c r="Q373" s="7">
        <v>0</v>
      </c>
      <c r="R373" s="7">
        <v>0.04</v>
      </c>
      <c r="S373" s="7">
        <v>0.1</v>
      </c>
      <c r="T373" s="7">
        <v>0.34</v>
      </c>
      <c r="U373">
        <v>5</v>
      </c>
      <c r="V373">
        <v>5</v>
      </c>
    </row>
    <row r="374" spans="1:22">
      <c r="A374">
        <v>370</v>
      </c>
      <c r="B374" s="4">
        <v>46296.390532407408</v>
      </c>
      <c r="C374" s="5">
        <v>46296</v>
      </c>
      <c r="D374" s="6">
        <v>2.3905324074074072</v>
      </c>
      <c r="E374" s="5">
        <v>46296</v>
      </c>
      <c r="F374" t="s">
        <v>24</v>
      </c>
      <c r="G374" t="s">
        <v>25</v>
      </c>
      <c r="H374" t="s">
        <v>26</v>
      </c>
      <c r="I374" t="s">
        <v>27</v>
      </c>
      <c r="J374" t="s">
        <v>27</v>
      </c>
      <c r="K374" t="s">
        <v>368</v>
      </c>
      <c r="L374" s="3" t="s">
        <v>231</v>
      </c>
      <c r="M374" s="8" t="s">
        <v>232</v>
      </c>
      <c r="N374" s="7">
        <v>0.55000000000000004</v>
      </c>
      <c r="O374" s="2">
        <v>1</v>
      </c>
      <c r="P374" s="7">
        <v>0.55000000000000004</v>
      </c>
      <c r="Q374" s="7">
        <v>0</v>
      </c>
      <c r="R374" s="7">
        <v>0.08</v>
      </c>
      <c r="S374" s="7">
        <v>0.54</v>
      </c>
      <c r="T374" s="7">
        <v>0.63</v>
      </c>
      <c r="U374">
        <v>5</v>
      </c>
      <c r="V374">
        <v>5</v>
      </c>
    </row>
    <row r="375" spans="1:22">
      <c r="A375">
        <v>371</v>
      </c>
      <c r="B375" s="4">
        <v>46296.390532407408</v>
      </c>
      <c r="C375" s="5">
        <v>46296</v>
      </c>
      <c r="D375" s="6">
        <v>2.3908564814814817</v>
      </c>
      <c r="E375" s="5">
        <v>46296</v>
      </c>
      <c r="F375" t="s">
        <v>24</v>
      </c>
      <c r="G375" t="s">
        <v>25</v>
      </c>
      <c r="H375" t="s">
        <v>26</v>
      </c>
      <c r="I375" t="s">
        <v>27</v>
      </c>
      <c r="J375" t="s">
        <v>27</v>
      </c>
      <c r="K375" t="s">
        <v>368</v>
      </c>
      <c r="L375" s="2" t="s">
        <v>59</v>
      </c>
      <c r="M375" s="8" t="s">
        <v>60</v>
      </c>
      <c r="N375" s="7">
        <v>0.31</v>
      </c>
      <c r="O375" s="2">
        <v>1</v>
      </c>
      <c r="P375" s="7">
        <v>0.31</v>
      </c>
      <c r="Q375" s="7">
        <v>0</v>
      </c>
      <c r="R375" s="7">
        <v>0</v>
      </c>
      <c r="S375" s="7">
        <v>0.3</v>
      </c>
      <c r="T375" s="7">
        <v>0.31</v>
      </c>
      <c r="U375">
        <v>5</v>
      </c>
      <c r="V375">
        <v>5</v>
      </c>
    </row>
    <row r="376" spans="1:22">
      <c r="A376">
        <v>372</v>
      </c>
      <c r="B376" s="4">
        <v>46296.398194444446</v>
      </c>
      <c r="C376" s="5">
        <v>46296</v>
      </c>
      <c r="D376" s="6">
        <v>2.3981944444444445</v>
      </c>
      <c r="E376" s="5">
        <v>46296</v>
      </c>
      <c r="F376" t="s">
        <v>24</v>
      </c>
      <c r="G376" t="s">
        <v>25</v>
      </c>
      <c r="H376" t="s">
        <v>26</v>
      </c>
      <c r="I376" t="s">
        <v>27</v>
      </c>
      <c r="J376" t="s">
        <v>27</v>
      </c>
      <c r="K376" t="s">
        <v>369</v>
      </c>
      <c r="L376" s="2" t="s">
        <v>143</v>
      </c>
      <c r="M376" s="8" t="s">
        <v>144</v>
      </c>
      <c r="N376" s="7">
        <v>1.25</v>
      </c>
      <c r="O376" s="2">
        <v>1</v>
      </c>
      <c r="P376" s="7">
        <v>1.25</v>
      </c>
      <c r="Q376" s="7">
        <v>0</v>
      </c>
      <c r="R376" s="7">
        <v>0</v>
      </c>
      <c r="S376" s="7">
        <v>1.21</v>
      </c>
      <c r="T376" s="7">
        <v>1.25</v>
      </c>
      <c r="U376">
        <v>5</v>
      </c>
      <c r="V376">
        <v>5</v>
      </c>
    </row>
    <row r="377" spans="1:22">
      <c r="A377">
        <v>373</v>
      </c>
      <c r="B377" s="4">
        <v>46296.402615740742</v>
      </c>
      <c r="C377" s="5">
        <v>46296</v>
      </c>
      <c r="D377" s="6">
        <v>2.4026157407407407</v>
      </c>
      <c r="E377" s="5">
        <v>46296</v>
      </c>
      <c r="F377" t="s">
        <v>24</v>
      </c>
      <c r="G377" t="s">
        <v>25</v>
      </c>
      <c r="H377" t="s">
        <v>26</v>
      </c>
      <c r="I377" t="s">
        <v>27</v>
      </c>
      <c r="J377" t="s">
        <v>27</v>
      </c>
      <c r="K377" t="s">
        <v>370</v>
      </c>
      <c r="L377" s="2" t="s">
        <v>143</v>
      </c>
      <c r="M377" s="8" t="s">
        <v>144</v>
      </c>
      <c r="N377" s="7">
        <v>1.25</v>
      </c>
      <c r="O377" s="2">
        <v>1</v>
      </c>
      <c r="P377" s="7">
        <v>1.25</v>
      </c>
      <c r="Q377" s="7">
        <v>0</v>
      </c>
      <c r="R377" s="7">
        <v>0</v>
      </c>
      <c r="S377" s="7">
        <v>1.21</v>
      </c>
      <c r="T377" s="7">
        <v>1.25</v>
      </c>
      <c r="U377">
        <v>5</v>
      </c>
      <c r="V377">
        <v>5</v>
      </c>
    </row>
    <row r="378" spans="1:22">
      <c r="A378">
        <v>374</v>
      </c>
      <c r="B378" s="4">
        <v>46296.402615740742</v>
      </c>
      <c r="C378" s="5">
        <v>46296</v>
      </c>
      <c r="D378" s="6">
        <v>2.4031712962962963</v>
      </c>
      <c r="E378" s="5">
        <v>46296</v>
      </c>
      <c r="F378" t="s">
        <v>24</v>
      </c>
      <c r="G378" t="s">
        <v>25</v>
      </c>
      <c r="H378" t="s">
        <v>26</v>
      </c>
      <c r="I378" t="s">
        <v>27</v>
      </c>
      <c r="J378" t="s">
        <v>27</v>
      </c>
      <c r="K378" t="s">
        <v>370</v>
      </c>
      <c r="L378" s="2" t="s">
        <v>47</v>
      </c>
      <c r="M378" s="8" t="s">
        <v>48</v>
      </c>
      <c r="N378" s="7">
        <v>0.05</v>
      </c>
      <c r="O378" s="2">
        <v>8</v>
      </c>
      <c r="P378" s="7">
        <v>0.4</v>
      </c>
      <c r="Q378" s="7">
        <v>0</v>
      </c>
      <c r="R378" s="7">
        <v>0.06</v>
      </c>
      <c r="S378" s="7">
        <v>0.18</v>
      </c>
      <c r="T378" s="7">
        <v>0.46</v>
      </c>
      <c r="U378">
        <v>5</v>
      </c>
      <c r="V378">
        <v>5</v>
      </c>
    </row>
    <row r="379" spans="1:22">
      <c r="A379">
        <v>375</v>
      </c>
      <c r="B379" s="4">
        <v>46296.405370370368</v>
      </c>
      <c r="C379" s="5">
        <v>46296</v>
      </c>
      <c r="D379" s="6">
        <v>2.4053587962962961</v>
      </c>
      <c r="E379" s="5">
        <v>46296</v>
      </c>
      <c r="F379" t="s">
        <v>24</v>
      </c>
      <c r="G379" t="s">
        <v>25</v>
      </c>
      <c r="H379" t="s">
        <v>26</v>
      </c>
      <c r="I379" t="s">
        <v>27</v>
      </c>
      <c r="J379" t="s">
        <v>27</v>
      </c>
      <c r="K379" t="s">
        <v>371</v>
      </c>
      <c r="L379" s="2" t="s">
        <v>143</v>
      </c>
      <c r="M379" s="8" t="s">
        <v>144</v>
      </c>
      <c r="N379" s="7">
        <v>1.25</v>
      </c>
      <c r="O379" s="2">
        <v>1</v>
      </c>
      <c r="P379" s="7">
        <v>1.25</v>
      </c>
      <c r="Q379" s="7">
        <v>0</v>
      </c>
      <c r="R379" s="7">
        <v>0</v>
      </c>
      <c r="S379" s="7">
        <v>1.21</v>
      </c>
      <c r="T379" s="7">
        <v>1.25</v>
      </c>
      <c r="U379">
        <v>5</v>
      </c>
      <c r="V379">
        <v>5</v>
      </c>
    </row>
    <row r="380" spans="1:22">
      <c r="A380">
        <v>376</v>
      </c>
      <c r="B380" s="4">
        <v>46296.409398148149</v>
      </c>
      <c r="C380" s="5">
        <v>46296</v>
      </c>
      <c r="D380" s="6">
        <v>2.4093981481481483</v>
      </c>
      <c r="E380" s="5">
        <v>46296</v>
      </c>
      <c r="F380" t="s">
        <v>24</v>
      </c>
      <c r="G380" t="s">
        <v>25</v>
      </c>
      <c r="H380" t="s">
        <v>26</v>
      </c>
      <c r="I380" t="s">
        <v>27</v>
      </c>
      <c r="J380" t="s">
        <v>27</v>
      </c>
      <c r="K380" t="s">
        <v>372</v>
      </c>
      <c r="L380" s="2" t="s">
        <v>143</v>
      </c>
      <c r="M380" s="8" t="s">
        <v>144</v>
      </c>
      <c r="N380" s="7">
        <v>1.25</v>
      </c>
      <c r="O380" s="2">
        <v>1</v>
      </c>
      <c r="P380" s="7">
        <v>1.25</v>
      </c>
      <c r="Q380" s="7">
        <v>0</v>
      </c>
      <c r="R380" s="7">
        <v>0</v>
      </c>
      <c r="S380" s="7">
        <v>1.21</v>
      </c>
      <c r="T380" s="7">
        <v>1.25</v>
      </c>
      <c r="U380">
        <v>5</v>
      </c>
      <c r="V380">
        <v>5</v>
      </c>
    </row>
    <row r="381" spans="1:22">
      <c r="A381">
        <v>377</v>
      </c>
      <c r="B381" s="4">
        <v>46296.423483796294</v>
      </c>
      <c r="C381" s="5">
        <v>46296</v>
      </c>
      <c r="D381" s="6">
        <v>2.4234837962962965</v>
      </c>
      <c r="E381" s="5">
        <v>46296</v>
      </c>
      <c r="F381" t="s">
        <v>24</v>
      </c>
      <c r="G381" t="s">
        <v>25</v>
      </c>
      <c r="H381" t="s">
        <v>26</v>
      </c>
      <c r="I381" t="s">
        <v>27</v>
      </c>
      <c r="J381" t="s">
        <v>27</v>
      </c>
      <c r="K381" t="s">
        <v>373</v>
      </c>
      <c r="L381" s="2" t="s">
        <v>105</v>
      </c>
      <c r="M381" s="8" t="s">
        <v>106</v>
      </c>
      <c r="N381" s="7">
        <v>0.38</v>
      </c>
      <c r="O381" s="2">
        <v>1</v>
      </c>
      <c r="P381" s="7">
        <v>0.38</v>
      </c>
      <c r="Q381" s="7">
        <v>0</v>
      </c>
      <c r="R381" s="7">
        <v>0.06</v>
      </c>
      <c r="S381" s="7">
        <v>0.37</v>
      </c>
      <c r="T381" s="7">
        <v>0.44</v>
      </c>
      <c r="U381">
        <v>5</v>
      </c>
      <c r="V381">
        <v>5</v>
      </c>
    </row>
    <row r="382" spans="1:22">
      <c r="A382">
        <v>378</v>
      </c>
      <c r="B382" s="4">
        <v>46296.423483796294</v>
      </c>
      <c r="C382" s="5">
        <v>46296</v>
      </c>
      <c r="D382" s="6">
        <v>2.4262731481481481</v>
      </c>
      <c r="E382" s="5">
        <v>46296</v>
      </c>
      <c r="F382" t="s">
        <v>24</v>
      </c>
      <c r="G382" t="s">
        <v>25</v>
      </c>
      <c r="H382" t="s">
        <v>26</v>
      </c>
      <c r="I382" t="s">
        <v>27</v>
      </c>
      <c r="J382" t="s">
        <v>27</v>
      </c>
      <c r="K382" t="s">
        <v>373</v>
      </c>
      <c r="L382" s="2" t="s">
        <v>143</v>
      </c>
      <c r="M382" s="8" t="s">
        <v>144</v>
      </c>
      <c r="N382" s="7">
        <v>1.25</v>
      </c>
      <c r="O382" s="2">
        <v>1</v>
      </c>
      <c r="P382" s="7">
        <v>1.25</v>
      </c>
      <c r="Q382" s="7">
        <v>0</v>
      </c>
      <c r="R382" s="7">
        <v>0</v>
      </c>
      <c r="S382" s="7">
        <v>1.21</v>
      </c>
      <c r="T382" s="7">
        <v>1.25</v>
      </c>
      <c r="U382">
        <v>5</v>
      </c>
      <c r="V382">
        <v>5</v>
      </c>
    </row>
    <row r="383" spans="1:22">
      <c r="A383">
        <v>379</v>
      </c>
      <c r="B383" s="4">
        <v>46296.458553240744</v>
      </c>
      <c r="C383" s="5">
        <v>46296</v>
      </c>
      <c r="D383" s="6">
        <v>2.4585416666666666</v>
      </c>
      <c r="E383" s="5">
        <v>46296</v>
      </c>
      <c r="F383" t="s">
        <v>24</v>
      </c>
      <c r="G383" t="s">
        <v>25</v>
      </c>
      <c r="H383" t="s">
        <v>26</v>
      </c>
      <c r="I383" t="s">
        <v>27</v>
      </c>
      <c r="J383" t="s">
        <v>27</v>
      </c>
      <c r="K383" t="s">
        <v>374</v>
      </c>
      <c r="L383" s="2" t="s">
        <v>29</v>
      </c>
      <c r="M383" s="8" t="s">
        <v>30</v>
      </c>
      <c r="N383" s="7">
        <v>0.81</v>
      </c>
      <c r="O383" s="2">
        <v>1</v>
      </c>
      <c r="P383" s="7">
        <v>0.81</v>
      </c>
      <c r="Q383" s="7">
        <v>0</v>
      </c>
      <c r="R383" s="7">
        <v>0.13</v>
      </c>
      <c r="S383" s="7">
        <v>0.43</v>
      </c>
      <c r="T383" s="7">
        <v>0.94</v>
      </c>
      <c r="U383">
        <v>5</v>
      </c>
      <c r="V383">
        <v>5</v>
      </c>
    </row>
    <row r="384" spans="1:22">
      <c r="A384">
        <v>380</v>
      </c>
      <c r="B384" s="4">
        <v>46296.46503472222</v>
      </c>
      <c r="C384" s="5">
        <v>46296</v>
      </c>
      <c r="D384" s="6">
        <v>2.4650347222222222</v>
      </c>
      <c r="E384" s="5">
        <v>46296</v>
      </c>
      <c r="F384" t="s">
        <v>24</v>
      </c>
      <c r="G384" t="s">
        <v>25</v>
      </c>
      <c r="H384" t="s">
        <v>26</v>
      </c>
      <c r="I384" t="s">
        <v>27</v>
      </c>
      <c r="J384" t="s">
        <v>27</v>
      </c>
      <c r="K384" t="s">
        <v>375</v>
      </c>
      <c r="L384" s="2" t="s">
        <v>376</v>
      </c>
      <c r="M384" s="8" t="s">
        <v>377</v>
      </c>
      <c r="N384" s="7">
        <v>1.08</v>
      </c>
      <c r="O384" s="2">
        <v>1</v>
      </c>
      <c r="P384" s="7">
        <v>1.08</v>
      </c>
      <c r="Q384" s="7">
        <v>0</v>
      </c>
      <c r="R384" s="7">
        <v>0.17</v>
      </c>
      <c r="S384" s="7">
        <v>0.66</v>
      </c>
      <c r="T384" s="7">
        <v>1.25</v>
      </c>
      <c r="U384">
        <v>5</v>
      </c>
      <c r="V384">
        <v>5</v>
      </c>
    </row>
    <row r="385" spans="1:22">
      <c r="A385">
        <v>381</v>
      </c>
      <c r="B385" s="4">
        <v>46296.466793981483</v>
      </c>
      <c r="C385" s="5">
        <v>46296</v>
      </c>
      <c r="D385" s="6">
        <v>2.4667824074074076</v>
      </c>
      <c r="E385" s="5">
        <v>46296</v>
      </c>
      <c r="F385" t="s">
        <v>24</v>
      </c>
      <c r="G385" t="s">
        <v>25</v>
      </c>
      <c r="H385" t="s">
        <v>26</v>
      </c>
      <c r="I385" t="s">
        <v>27</v>
      </c>
      <c r="J385" t="s">
        <v>27</v>
      </c>
      <c r="K385" t="s">
        <v>378</v>
      </c>
      <c r="L385" s="2" t="s">
        <v>35</v>
      </c>
      <c r="M385" s="8" t="s">
        <v>36</v>
      </c>
      <c r="N385" s="7">
        <v>0.81</v>
      </c>
      <c r="O385" s="2">
        <v>1</v>
      </c>
      <c r="P385" s="7">
        <v>0.81</v>
      </c>
      <c r="Q385" s="7">
        <v>0</v>
      </c>
      <c r="R385" s="7">
        <v>0.13</v>
      </c>
      <c r="S385" s="7">
        <v>0.38</v>
      </c>
      <c r="T385" s="7">
        <v>0.94</v>
      </c>
      <c r="U385">
        <v>5</v>
      </c>
      <c r="V385">
        <v>5</v>
      </c>
    </row>
    <row r="386" spans="1:22">
      <c r="A386">
        <v>382</v>
      </c>
      <c r="B386" s="4">
        <v>46296.466793981483</v>
      </c>
      <c r="C386" s="5">
        <v>46296</v>
      </c>
      <c r="D386" s="6">
        <v>2.4670949074074073</v>
      </c>
      <c r="E386" s="5">
        <v>46296</v>
      </c>
      <c r="F386" t="s">
        <v>24</v>
      </c>
      <c r="G386" t="s">
        <v>25</v>
      </c>
      <c r="H386" t="s">
        <v>26</v>
      </c>
      <c r="I386" t="s">
        <v>27</v>
      </c>
      <c r="J386" t="s">
        <v>27</v>
      </c>
      <c r="K386" t="s">
        <v>378</v>
      </c>
      <c r="L386" s="2" t="s">
        <v>151</v>
      </c>
      <c r="M386" s="8" t="s">
        <v>152</v>
      </c>
      <c r="N386" s="7">
        <v>0.27</v>
      </c>
      <c r="O386" s="2">
        <v>1</v>
      </c>
      <c r="P386" s="7">
        <v>0.27</v>
      </c>
      <c r="Q386" s="7">
        <v>0</v>
      </c>
      <c r="R386" s="7">
        <v>0.04</v>
      </c>
      <c r="S386" s="7">
        <v>0.14000000000000001</v>
      </c>
      <c r="T386" s="7">
        <v>0.31</v>
      </c>
      <c r="U386">
        <v>5</v>
      </c>
      <c r="V386">
        <v>5</v>
      </c>
    </row>
    <row r="387" spans="1:22">
      <c r="A387">
        <v>383</v>
      </c>
      <c r="B387" s="4">
        <v>46296.471064814818</v>
      </c>
      <c r="C387" s="5">
        <v>46296</v>
      </c>
      <c r="D387" s="6">
        <v>2.4710648148148149</v>
      </c>
      <c r="E387" s="5">
        <v>46296</v>
      </c>
      <c r="F387" t="s">
        <v>24</v>
      </c>
      <c r="G387" t="s">
        <v>25</v>
      </c>
      <c r="H387" t="s">
        <v>26</v>
      </c>
      <c r="I387" t="s">
        <v>27</v>
      </c>
      <c r="J387" t="s">
        <v>27</v>
      </c>
      <c r="K387" t="s">
        <v>379</v>
      </c>
      <c r="L387" s="2" t="s">
        <v>88</v>
      </c>
      <c r="M387" s="8" t="s">
        <v>89</v>
      </c>
      <c r="N387" s="7">
        <v>0.81</v>
      </c>
      <c r="O387" s="2">
        <v>1</v>
      </c>
      <c r="P387" s="7">
        <v>0.81</v>
      </c>
      <c r="Q387" s="7">
        <v>0</v>
      </c>
      <c r="R387" s="7">
        <v>0.13</v>
      </c>
      <c r="S387" s="7">
        <v>0.79</v>
      </c>
      <c r="T387" s="7">
        <v>0.94</v>
      </c>
      <c r="U387">
        <v>5</v>
      </c>
      <c r="V387">
        <v>5</v>
      </c>
    </row>
    <row r="388" spans="1:22">
      <c r="A388">
        <v>384</v>
      </c>
      <c r="B388" s="4">
        <v>46296.471064814818</v>
      </c>
      <c r="C388" s="5">
        <v>46296</v>
      </c>
      <c r="D388" s="6">
        <v>2.4711226851851853</v>
      </c>
      <c r="E388" s="5">
        <v>46296</v>
      </c>
      <c r="F388" t="s">
        <v>24</v>
      </c>
      <c r="G388" t="s">
        <v>25</v>
      </c>
      <c r="H388" t="s">
        <v>26</v>
      </c>
      <c r="I388" t="s">
        <v>27</v>
      </c>
      <c r="J388" t="s">
        <v>27</v>
      </c>
      <c r="K388" t="s">
        <v>379</v>
      </c>
      <c r="L388" s="2" t="s">
        <v>229</v>
      </c>
      <c r="M388" s="8" t="s">
        <v>230</v>
      </c>
      <c r="N388" s="7">
        <v>0.81</v>
      </c>
      <c r="O388" s="2">
        <v>1</v>
      </c>
      <c r="P388" s="7">
        <v>0.81</v>
      </c>
      <c r="Q388" s="7">
        <v>0</v>
      </c>
      <c r="R388" s="7">
        <v>0.13</v>
      </c>
      <c r="S388" s="7">
        <v>0.79</v>
      </c>
      <c r="T388" s="7">
        <v>0.94</v>
      </c>
      <c r="U388">
        <v>5</v>
      </c>
      <c r="V388">
        <v>5</v>
      </c>
    </row>
    <row r="389" spans="1:22">
      <c r="A389">
        <v>385</v>
      </c>
      <c r="B389" s="4">
        <v>46296.471909722219</v>
      </c>
      <c r="C389" s="5">
        <v>46296</v>
      </c>
      <c r="D389" s="6">
        <v>2.4719097222222222</v>
      </c>
      <c r="E389" s="5">
        <v>46296</v>
      </c>
      <c r="F389" t="s">
        <v>24</v>
      </c>
      <c r="G389" t="s">
        <v>25</v>
      </c>
      <c r="H389" t="s">
        <v>26</v>
      </c>
      <c r="I389" t="s">
        <v>27</v>
      </c>
      <c r="J389" t="s">
        <v>27</v>
      </c>
      <c r="K389" t="s">
        <v>380</v>
      </c>
      <c r="L389" s="2" t="s">
        <v>59</v>
      </c>
      <c r="M389" s="8" t="s">
        <v>60</v>
      </c>
      <c r="N389" s="7">
        <v>0.31</v>
      </c>
      <c r="O389" s="2">
        <v>6</v>
      </c>
      <c r="P389" s="7">
        <v>1.86</v>
      </c>
      <c r="Q389" s="7">
        <v>0</v>
      </c>
      <c r="R389" s="7">
        <v>0</v>
      </c>
      <c r="S389" s="7">
        <v>1.8</v>
      </c>
      <c r="T389" s="7">
        <v>1.86</v>
      </c>
      <c r="U389">
        <v>5</v>
      </c>
      <c r="V389">
        <v>5</v>
      </c>
    </row>
    <row r="390" spans="1:22">
      <c r="A390">
        <v>386</v>
      </c>
      <c r="B390" s="4">
        <v>46296.472557870373</v>
      </c>
      <c r="C390" s="5">
        <v>46296</v>
      </c>
      <c r="D390" s="6">
        <v>2.4725462962962963</v>
      </c>
      <c r="E390" s="5">
        <v>46296</v>
      </c>
      <c r="F390" t="s">
        <v>24</v>
      </c>
      <c r="G390" t="s">
        <v>25</v>
      </c>
      <c r="H390" t="s">
        <v>26</v>
      </c>
      <c r="I390" t="s">
        <v>27</v>
      </c>
      <c r="J390" t="s">
        <v>27</v>
      </c>
      <c r="K390" t="s">
        <v>381</v>
      </c>
      <c r="L390" s="2" t="s">
        <v>68</v>
      </c>
      <c r="M390" s="8" t="s">
        <v>69</v>
      </c>
      <c r="N390" s="7">
        <v>1.63</v>
      </c>
      <c r="O390" s="2">
        <v>1</v>
      </c>
      <c r="P390" s="7">
        <v>1.63</v>
      </c>
      <c r="Q390" s="7">
        <v>0</v>
      </c>
      <c r="R390" s="7">
        <v>0.25</v>
      </c>
      <c r="S390" s="7">
        <v>0.17</v>
      </c>
      <c r="T390" s="7">
        <v>1.88</v>
      </c>
      <c r="U390">
        <v>5</v>
      </c>
      <c r="V390">
        <v>5</v>
      </c>
    </row>
    <row r="391" spans="1:22">
      <c r="A391">
        <v>387</v>
      </c>
      <c r="B391" s="4">
        <v>46296.476909722223</v>
      </c>
      <c r="C391" s="5">
        <v>46296</v>
      </c>
      <c r="D391" s="6">
        <v>2.4769097222222221</v>
      </c>
      <c r="E391" s="5">
        <v>46296</v>
      </c>
      <c r="F391" t="s">
        <v>24</v>
      </c>
      <c r="G391" t="s">
        <v>25</v>
      </c>
      <c r="H391" t="s">
        <v>26</v>
      </c>
      <c r="I391" t="s">
        <v>27</v>
      </c>
      <c r="J391" t="s">
        <v>27</v>
      </c>
      <c r="K391" t="s">
        <v>382</v>
      </c>
      <c r="L391" s="3" t="s">
        <v>231</v>
      </c>
      <c r="M391" s="8" t="s">
        <v>232</v>
      </c>
      <c r="N391" s="7">
        <v>0.55000000000000004</v>
      </c>
      <c r="O391" s="2">
        <v>1</v>
      </c>
      <c r="P391" s="7">
        <v>0.55000000000000004</v>
      </c>
      <c r="Q391" s="7">
        <v>0</v>
      </c>
      <c r="R391" s="7">
        <v>0.08</v>
      </c>
      <c r="S391" s="7">
        <v>0.54</v>
      </c>
      <c r="T391" s="7">
        <v>0.63</v>
      </c>
      <c r="U391">
        <v>5</v>
      </c>
      <c r="V391">
        <v>5</v>
      </c>
    </row>
    <row r="392" spans="1:22">
      <c r="A392">
        <v>388</v>
      </c>
      <c r="B392" s="4">
        <v>46296.494305555556</v>
      </c>
      <c r="C392" s="5">
        <v>46296</v>
      </c>
      <c r="D392" s="6">
        <v>2.4942939814814813</v>
      </c>
      <c r="E392" s="5">
        <v>46296</v>
      </c>
      <c r="F392" t="s">
        <v>24</v>
      </c>
      <c r="G392" t="s">
        <v>25</v>
      </c>
      <c r="H392" t="s">
        <v>26</v>
      </c>
      <c r="I392" t="s">
        <v>27</v>
      </c>
      <c r="J392" t="s">
        <v>27</v>
      </c>
      <c r="K392" t="s">
        <v>383</v>
      </c>
      <c r="L392" s="2" t="s">
        <v>143</v>
      </c>
      <c r="M392" s="8" t="s">
        <v>144</v>
      </c>
      <c r="N392" s="7">
        <v>1.25</v>
      </c>
      <c r="O392" s="2">
        <v>1</v>
      </c>
      <c r="P392" s="7">
        <v>1.25</v>
      </c>
      <c r="Q392" s="7">
        <v>0</v>
      </c>
      <c r="R392" s="7">
        <v>0</v>
      </c>
      <c r="S392" s="7">
        <v>1.21</v>
      </c>
      <c r="T392" s="7">
        <v>1.25</v>
      </c>
      <c r="U392">
        <v>5</v>
      </c>
      <c r="V392">
        <v>5</v>
      </c>
    </row>
    <row r="393" spans="1:22">
      <c r="A393">
        <v>389</v>
      </c>
      <c r="B393" s="4">
        <v>46296.496215277781</v>
      </c>
      <c r="C393" s="5">
        <v>46296</v>
      </c>
      <c r="D393" s="6">
        <v>2.4962037037037037</v>
      </c>
      <c r="E393" s="5">
        <v>46296</v>
      </c>
      <c r="F393" t="s">
        <v>24</v>
      </c>
      <c r="G393" t="s">
        <v>25</v>
      </c>
      <c r="H393" t="s">
        <v>26</v>
      </c>
      <c r="I393" t="s">
        <v>27</v>
      </c>
      <c r="J393" t="s">
        <v>27</v>
      </c>
      <c r="K393" t="s">
        <v>384</v>
      </c>
      <c r="L393" s="2" t="s">
        <v>59</v>
      </c>
      <c r="M393" s="8" t="s">
        <v>60</v>
      </c>
      <c r="N393" s="7">
        <v>0.31</v>
      </c>
      <c r="O393" s="2">
        <v>1</v>
      </c>
      <c r="P393" s="7">
        <v>0.31</v>
      </c>
      <c r="Q393" s="7">
        <v>0</v>
      </c>
      <c r="R393" s="7">
        <v>0</v>
      </c>
      <c r="S393" s="7">
        <v>0.3</v>
      </c>
      <c r="T393" s="7">
        <v>0.31</v>
      </c>
      <c r="U393">
        <v>5</v>
      </c>
      <c r="V393">
        <v>5</v>
      </c>
    </row>
    <row r="394" spans="1:22">
      <c r="A394">
        <v>390</v>
      </c>
      <c r="B394" s="4">
        <v>46296.533136574071</v>
      </c>
      <c r="C394" s="5">
        <v>46296</v>
      </c>
      <c r="D394" s="6">
        <v>2.5331250000000001</v>
      </c>
      <c r="E394" s="5">
        <v>46296</v>
      </c>
      <c r="F394" t="s">
        <v>24</v>
      </c>
      <c r="G394" t="s">
        <v>25</v>
      </c>
      <c r="H394" t="s">
        <v>26</v>
      </c>
      <c r="I394" t="s">
        <v>27</v>
      </c>
      <c r="J394" t="s">
        <v>27</v>
      </c>
      <c r="K394" t="s">
        <v>385</v>
      </c>
      <c r="L394" s="2" t="s">
        <v>59</v>
      </c>
      <c r="M394" s="8" t="s">
        <v>60</v>
      </c>
      <c r="N394" s="7">
        <v>0.31</v>
      </c>
      <c r="O394" s="2">
        <v>4</v>
      </c>
      <c r="P394" s="7">
        <v>1.24</v>
      </c>
      <c r="Q394" s="7">
        <v>0</v>
      </c>
      <c r="R394" s="7">
        <v>0</v>
      </c>
      <c r="S394" s="7">
        <v>1.2</v>
      </c>
      <c r="T394" s="7">
        <v>1.24</v>
      </c>
      <c r="U394">
        <v>5</v>
      </c>
      <c r="V394">
        <v>5</v>
      </c>
    </row>
    <row r="395" spans="1:22">
      <c r="A395">
        <v>391</v>
      </c>
      <c r="B395" s="4">
        <v>46296.533136574071</v>
      </c>
      <c r="C395" s="5">
        <v>46296</v>
      </c>
      <c r="D395" s="6">
        <v>2.5331944444444443</v>
      </c>
      <c r="E395" s="5">
        <v>46296</v>
      </c>
      <c r="F395" t="s">
        <v>24</v>
      </c>
      <c r="G395" t="s">
        <v>25</v>
      </c>
      <c r="H395" t="s">
        <v>26</v>
      </c>
      <c r="I395" t="s">
        <v>27</v>
      </c>
      <c r="J395" t="s">
        <v>27</v>
      </c>
      <c r="K395" t="s">
        <v>385</v>
      </c>
      <c r="L395" s="2" t="s">
        <v>56</v>
      </c>
      <c r="M395" s="8" t="s">
        <v>57</v>
      </c>
      <c r="N395" s="7">
        <v>0.27</v>
      </c>
      <c r="O395" s="2">
        <v>1</v>
      </c>
      <c r="P395" s="7">
        <v>0.27</v>
      </c>
      <c r="Q395" s="7">
        <v>0</v>
      </c>
      <c r="R395" s="7">
        <v>0.04</v>
      </c>
      <c r="S395" s="7">
        <v>0.19</v>
      </c>
      <c r="T395" s="7">
        <v>0.31</v>
      </c>
      <c r="U395">
        <v>5</v>
      </c>
      <c r="V395">
        <v>5</v>
      </c>
    </row>
    <row r="396" spans="1:22">
      <c r="A396">
        <v>392</v>
      </c>
      <c r="B396" s="4">
        <v>46296.533136574071</v>
      </c>
      <c r="C396" s="5">
        <v>46296</v>
      </c>
      <c r="D396" s="6">
        <v>2.5342824074074075</v>
      </c>
      <c r="E396" s="5">
        <v>46296</v>
      </c>
      <c r="F396" t="s">
        <v>24</v>
      </c>
      <c r="G396" t="s">
        <v>25</v>
      </c>
      <c r="H396" t="s">
        <v>26</v>
      </c>
      <c r="I396" t="s">
        <v>27</v>
      </c>
      <c r="J396" t="s">
        <v>27</v>
      </c>
      <c r="K396" t="s">
        <v>385</v>
      </c>
      <c r="L396" s="2" t="s">
        <v>109</v>
      </c>
      <c r="M396" s="8" t="s">
        <v>110</v>
      </c>
      <c r="N396" s="7">
        <v>1.08</v>
      </c>
      <c r="O396" s="2">
        <v>2</v>
      </c>
      <c r="P396" s="7">
        <v>2.16</v>
      </c>
      <c r="Q396" s="7">
        <v>0</v>
      </c>
      <c r="R396" s="7">
        <v>0.34</v>
      </c>
      <c r="S396" s="7">
        <v>0.51</v>
      </c>
      <c r="T396" s="7">
        <v>2.5</v>
      </c>
      <c r="U396">
        <v>5</v>
      </c>
      <c r="V396">
        <v>5</v>
      </c>
    </row>
    <row r="397" spans="1:22">
      <c r="A397">
        <v>393</v>
      </c>
      <c r="B397" s="4">
        <v>46296.535150462965</v>
      </c>
      <c r="C397" s="5">
        <v>46296</v>
      </c>
      <c r="D397" s="6">
        <v>2.5351388888888891</v>
      </c>
      <c r="E397" s="5">
        <v>46296</v>
      </c>
      <c r="F397" t="s">
        <v>24</v>
      </c>
      <c r="G397" t="s">
        <v>25</v>
      </c>
      <c r="H397" t="s">
        <v>26</v>
      </c>
      <c r="I397" t="s">
        <v>27</v>
      </c>
      <c r="J397" t="s">
        <v>27</v>
      </c>
      <c r="K397" t="s">
        <v>386</v>
      </c>
      <c r="L397" s="2" t="s">
        <v>63</v>
      </c>
      <c r="M397" s="8" t="s">
        <v>64</v>
      </c>
      <c r="N397" s="7">
        <v>1.9</v>
      </c>
      <c r="O397" s="2">
        <v>1</v>
      </c>
      <c r="P397" s="7">
        <v>1.9</v>
      </c>
      <c r="Q397" s="7">
        <v>0</v>
      </c>
      <c r="R397" s="7">
        <v>0.28999999999999998</v>
      </c>
      <c r="S397" s="7">
        <v>1.83</v>
      </c>
      <c r="T397" s="7">
        <v>2.19</v>
      </c>
      <c r="U397">
        <v>5</v>
      </c>
      <c r="V397">
        <v>5</v>
      </c>
    </row>
    <row r="398" spans="1:22">
      <c r="A398">
        <v>394</v>
      </c>
      <c r="B398" s="4">
        <v>46296.547881944447</v>
      </c>
      <c r="C398" s="5">
        <v>46296</v>
      </c>
      <c r="D398" s="6">
        <v>2.5478819444444443</v>
      </c>
      <c r="E398" s="5">
        <v>46296</v>
      </c>
      <c r="F398" t="s">
        <v>24</v>
      </c>
      <c r="G398" t="s">
        <v>25</v>
      </c>
      <c r="H398" t="s">
        <v>26</v>
      </c>
      <c r="I398" t="s">
        <v>27</v>
      </c>
      <c r="J398" t="s">
        <v>27</v>
      </c>
      <c r="K398" t="s">
        <v>387</v>
      </c>
      <c r="L398" s="2" t="s">
        <v>388</v>
      </c>
      <c r="M398" s="8" t="s">
        <v>389</v>
      </c>
      <c r="N398" s="7">
        <v>1.9</v>
      </c>
      <c r="O398" s="2">
        <v>1</v>
      </c>
      <c r="P398" s="7">
        <v>1.9</v>
      </c>
      <c r="Q398" s="7">
        <v>0</v>
      </c>
      <c r="R398" s="7">
        <v>0.28999999999999998</v>
      </c>
      <c r="S398" s="7">
        <v>1.83</v>
      </c>
      <c r="T398" s="7">
        <v>2.19</v>
      </c>
      <c r="U398">
        <v>5</v>
      </c>
      <c r="V398">
        <v>5</v>
      </c>
    </row>
    <row r="399" spans="1:22">
      <c r="A399">
        <v>395</v>
      </c>
      <c r="B399" s="4">
        <v>46296.547881944447</v>
      </c>
      <c r="C399" s="5">
        <v>46296</v>
      </c>
      <c r="D399" s="6">
        <v>2.5479629629629628</v>
      </c>
      <c r="E399" s="5">
        <v>46296</v>
      </c>
      <c r="F399" t="s">
        <v>24</v>
      </c>
      <c r="G399" t="s">
        <v>25</v>
      </c>
      <c r="H399" t="s">
        <v>26</v>
      </c>
      <c r="I399" t="s">
        <v>27</v>
      </c>
      <c r="J399" t="s">
        <v>27</v>
      </c>
      <c r="K399" t="s">
        <v>387</v>
      </c>
      <c r="L399" s="2" t="s">
        <v>265</v>
      </c>
      <c r="M399" s="8" t="s">
        <v>266</v>
      </c>
      <c r="N399" s="7">
        <v>1.9</v>
      </c>
      <c r="O399" s="2">
        <v>1</v>
      </c>
      <c r="P399" s="7">
        <v>1.9</v>
      </c>
      <c r="Q399" s="7">
        <v>0</v>
      </c>
      <c r="R399" s="7">
        <v>0.28999999999999998</v>
      </c>
      <c r="S399" s="7">
        <v>0.56999999999999995</v>
      </c>
      <c r="T399" s="7">
        <v>2.19</v>
      </c>
      <c r="U399">
        <v>5</v>
      </c>
      <c r="V399">
        <v>5</v>
      </c>
    </row>
    <row r="400" spans="1:22">
      <c r="A400">
        <v>396</v>
      </c>
      <c r="B400" s="4">
        <v>46296.547881944447</v>
      </c>
      <c r="C400" s="5">
        <v>46296</v>
      </c>
      <c r="D400" s="6">
        <v>2.5480671296296298</v>
      </c>
      <c r="E400" s="5">
        <v>46296</v>
      </c>
      <c r="F400" t="s">
        <v>24</v>
      </c>
      <c r="G400" t="s">
        <v>25</v>
      </c>
      <c r="H400" t="s">
        <v>26</v>
      </c>
      <c r="I400" t="s">
        <v>27</v>
      </c>
      <c r="J400" t="s">
        <v>27</v>
      </c>
      <c r="K400" t="s">
        <v>387</v>
      </c>
      <c r="L400" s="2" t="s">
        <v>168</v>
      </c>
      <c r="M400" s="8" t="s">
        <v>169</v>
      </c>
      <c r="N400" s="7">
        <v>1.63</v>
      </c>
      <c r="O400" s="2">
        <v>1</v>
      </c>
      <c r="P400" s="7">
        <v>1.63</v>
      </c>
      <c r="Q400" s="7">
        <v>0</v>
      </c>
      <c r="R400" s="7">
        <v>0.25</v>
      </c>
      <c r="S400" s="7">
        <v>1.58</v>
      </c>
      <c r="T400" s="7">
        <v>1.88</v>
      </c>
      <c r="U400">
        <v>5</v>
      </c>
      <c r="V400">
        <v>5</v>
      </c>
    </row>
    <row r="401" spans="1:22">
      <c r="A401">
        <v>397</v>
      </c>
      <c r="B401" s="4">
        <v>46296.547881944447</v>
      </c>
      <c r="C401" s="5">
        <v>46296</v>
      </c>
      <c r="D401" s="6">
        <v>2.5483564814814814</v>
      </c>
      <c r="E401" s="5">
        <v>46296</v>
      </c>
      <c r="F401" t="s">
        <v>24</v>
      </c>
      <c r="G401" t="s">
        <v>25</v>
      </c>
      <c r="H401" t="s">
        <v>26</v>
      </c>
      <c r="I401" t="s">
        <v>27</v>
      </c>
      <c r="J401" t="s">
        <v>27</v>
      </c>
      <c r="K401" t="s">
        <v>387</v>
      </c>
      <c r="L401" s="3" t="s">
        <v>231</v>
      </c>
      <c r="M401" s="8" t="s">
        <v>232</v>
      </c>
      <c r="N401" s="7">
        <v>0.55000000000000004</v>
      </c>
      <c r="O401" s="2">
        <v>3</v>
      </c>
      <c r="P401" s="7">
        <v>1.65</v>
      </c>
      <c r="Q401" s="7">
        <v>0</v>
      </c>
      <c r="R401" s="7">
        <v>0.25</v>
      </c>
      <c r="S401" s="7">
        <v>1.61</v>
      </c>
      <c r="T401" s="7">
        <v>1.9</v>
      </c>
      <c r="U401">
        <v>5</v>
      </c>
      <c r="V401">
        <v>5</v>
      </c>
    </row>
    <row r="402" spans="1:22">
      <c r="A402">
        <v>398</v>
      </c>
      <c r="B402" s="4">
        <v>46296.547881944447</v>
      </c>
      <c r="C402" s="5">
        <v>46296</v>
      </c>
      <c r="D402" s="6">
        <v>2.5493055555555557</v>
      </c>
      <c r="E402" s="5">
        <v>46296</v>
      </c>
      <c r="F402" t="s">
        <v>24</v>
      </c>
      <c r="G402" t="s">
        <v>25</v>
      </c>
      <c r="H402" t="s">
        <v>26</v>
      </c>
      <c r="I402" t="s">
        <v>27</v>
      </c>
      <c r="J402" t="s">
        <v>27</v>
      </c>
      <c r="K402" t="s">
        <v>387</v>
      </c>
      <c r="L402" s="2" t="s">
        <v>38</v>
      </c>
      <c r="M402" s="8" t="s">
        <v>39</v>
      </c>
      <c r="N402" s="7">
        <v>0.03</v>
      </c>
      <c r="O402" s="2">
        <v>20</v>
      </c>
      <c r="P402" s="7">
        <v>0.6</v>
      </c>
      <c r="Q402" s="7">
        <v>0</v>
      </c>
      <c r="R402" s="7">
        <v>0.08</v>
      </c>
      <c r="S402" s="7">
        <v>0.2</v>
      </c>
      <c r="T402" s="7">
        <v>0.68</v>
      </c>
      <c r="U402">
        <v>5</v>
      </c>
      <c r="V402">
        <v>5</v>
      </c>
    </row>
    <row r="403" spans="1:22">
      <c r="A403">
        <v>399</v>
      </c>
      <c r="B403" s="4">
        <v>46296.549675925926</v>
      </c>
      <c r="C403" s="5">
        <v>46296</v>
      </c>
      <c r="D403" s="6">
        <v>2.549664351851852</v>
      </c>
      <c r="E403" s="5">
        <v>46296</v>
      </c>
      <c r="F403" t="s">
        <v>24</v>
      </c>
      <c r="G403" t="s">
        <v>25</v>
      </c>
      <c r="H403" t="s">
        <v>26</v>
      </c>
      <c r="I403" t="s">
        <v>27</v>
      </c>
      <c r="J403" t="s">
        <v>27</v>
      </c>
      <c r="K403" t="s">
        <v>390</v>
      </c>
      <c r="L403" s="2" t="s">
        <v>149</v>
      </c>
      <c r="M403" s="8" t="s">
        <v>150</v>
      </c>
      <c r="N403" s="7">
        <v>0.55000000000000004</v>
      </c>
      <c r="O403" s="2">
        <v>1</v>
      </c>
      <c r="P403" s="7">
        <v>0.55000000000000004</v>
      </c>
      <c r="Q403" s="7">
        <v>0</v>
      </c>
      <c r="R403" s="7">
        <v>0.08</v>
      </c>
      <c r="S403" s="7">
        <v>0.54</v>
      </c>
      <c r="T403" s="7">
        <v>0.63</v>
      </c>
      <c r="U403">
        <v>5</v>
      </c>
      <c r="V403">
        <v>5</v>
      </c>
    </row>
    <row r="404" spans="1:22">
      <c r="A404">
        <v>400</v>
      </c>
      <c r="B404" s="4">
        <v>46296.551921296297</v>
      </c>
      <c r="C404" s="5">
        <v>46296</v>
      </c>
      <c r="D404" s="6">
        <v>2.5519212962962965</v>
      </c>
      <c r="E404" s="5">
        <v>46296</v>
      </c>
      <c r="F404" t="s">
        <v>24</v>
      </c>
      <c r="G404" t="s">
        <v>25</v>
      </c>
      <c r="H404" t="s">
        <v>26</v>
      </c>
      <c r="I404" t="s">
        <v>27</v>
      </c>
      <c r="J404" t="s">
        <v>27</v>
      </c>
      <c r="K404" t="s">
        <v>391</v>
      </c>
      <c r="L404" s="2" t="s">
        <v>392</v>
      </c>
      <c r="M404" s="8" t="s">
        <v>393</v>
      </c>
      <c r="N404" s="7">
        <v>4.87</v>
      </c>
      <c r="O404" s="2">
        <v>1</v>
      </c>
      <c r="P404" s="7">
        <v>4.87</v>
      </c>
      <c r="Q404" s="7">
        <v>0</v>
      </c>
      <c r="R404" s="7">
        <v>0.76</v>
      </c>
      <c r="S404" s="7">
        <v>4.68</v>
      </c>
      <c r="T404" s="7">
        <v>5.63</v>
      </c>
      <c r="U404">
        <v>5</v>
      </c>
      <c r="V404">
        <v>5</v>
      </c>
    </row>
    <row r="405" spans="1:22">
      <c r="A405">
        <v>401</v>
      </c>
      <c r="B405" s="4">
        <v>46296.551921296297</v>
      </c>
      <c r="C405" s="5">
        <v>46296</v>
      </c>
      <c r="D405" s="6">
        <v>2.5520370370370369</v>
      </c>
      <c r="E405" s="5">
        <v>46296</v>
      </c>
      <c r="F405" t="s">
        <v>24</v>
      </c>
      <c r="G405" t="s">
        <v>25</v>
      </c>
      <c r="H405" t="s">
        <v>26</v>
      </c>
      <c r="I405" t="s">
        <v>27</v>
      </c>
      <c r="J405" t="s">
        <v>27</v>
      </c>
      <c r="K405" t="s">
        <v>391</v>
      </c>
      <c r="L405" s="2" t="s">
        <v>211</v>
      </c>
      <c r="M405" s="8" t="s">
        <v>212</v>
      </c>
      <c r="N405" s="7">
        <v>1.56</v>
      </c>
      <c r="O405" s="2">
        <v>1</v>
      </c>
      <c r="P405" s="7">
        <v>1.56</v>
      </c>
      <c r="Q405" s="7">
        <v>0</v>
      </c>
      <c r="R405" s="7">
        <v>0</v>
      </c>
      <c r="S405" s="7">
        <v>1.51</v>
      </c>
      <c r="T405" s="7">
        <v>1.56</v>
      </c>
      <c r="U405">
        <v>5</v>
      </c>
      <c r="V405">
        <v>5</v>
      </c>
    </row>
    <row r="406" spans="1:22">
      <c r="A406">
        <v>402</v>
      </c>
      <c r="B406" s="4">
        <v>46296.551921296297</v>
      </c>
      <c r="C406" s="5">
        <v>46296</v>
      </c>
      <c r="D406" s="6">
        <v>2.5584027777777778</v>
      </c>
      <c r="E406" s="5">
        <v>46296</v>
      </c>
      <c r="F406" t="s">
        <v>24</v>
      </c>
      <c r="G406" t="s">
        <v>25</v>
      </c>
      <c r="H406" t="s">
        <v>26</v>
      </c>
      <c r="I406" t="s">
        <v>27</v>
      </c>
      <c r="J406" t="s">
        <v>27</v>
      </c>
      <c r="K406" t="s">
        <v>391</v>
      </c>
      <c r="L406" s="2" t="s">
        <v>92</v>
      </c>
      <c r="M406" s="8" t="s">
        <v>93</v>
      </c>
      <c r="N406" s="7">
        <v>0.65</v>
      </c>
      <c r="O406" s="2">
        <v>6</v>
      </c>
      <c r="P406" s="7">
        <v>3.9</v>
      </c>
      <c r="Q406" s="7">
        <v>0</v>
      </c>
      <c r="R406" s="7">
        <v>0.6</v>
      </c>
      <c r="S406" s="7">
        <v>3.79</v>
      </c>
      <c r="T406" s="7">
        <v>4.5</v>
      </c>
      <c r="U406">
        <v>5</v>
      </c>
      <c r="V406">
        <v>5</v>
      </c>
    </row>
    <row r="407" spans="1:22">
      <c r="A407">
        <v>403</v>
      </c>
      <c r="B407" s="4">
        <v>46296.559849537036</v>
      </c>
      <c r="C407" s="5">
        <v>46296</v>
      </c>
      <c r="D407" s="6">
        <v>2.5598495370370369</v>
      </c>
      <c r="E407" s="5">
        <v>46296</v>
      </c>
      <c r="F407" t="s">
        <v>24</v>
      </c>
      <c r="G407" t="s">
        <v>25</v>
      </c>
      <c r="H407" t="s">
        <v>26</v>
      </c>
      <c r="I407" t="s">
        <v>27</v>
      </c>
      <c r="J407" t="s">
        <v>27</v>
      </c>
      <c r="K407" t="s">
        <v>394</v>
      </c>
      <c r="L407" s="2" t="s">
        <v>113</v>
      </c>
      <c r="M407" s="8" t="s">
        <v>114</v>
      </c>
      <c r="N407" s="7">
        <v>1.08</v>
      </c>
      <c r="O407" s="2">
        <v>1</v>
      </c>
      <c r="P407" s="7">
        <v>1.08</v>
      </c>
      <c r="Q407" s="7">
        <v>0</v>
      </c>
      <c r="R407" s="7">
        <v>0.17</v>
      </c>
      <c r="S407" s="7">
        <v>0.26</v>
      </c>
      <c r="T407" s="7">
        <v>1.25</v>
      </c>
      <c r="U407">
        <v>5</v>
      </c>
      <c r="V407">
        <v>5</v>
      </c>
    </row>
    <row r="408" spans="1:22">
      <c r="A408">
        <v>404</v>
      </c>
      <c r="B408" s="4">
        <v>46296.564583333333</v>
      </c>
      <c r="C408" s="5">
        <v>46296</v>
      </c>
      <c r="D408" s="6">
        <v>2.5645833333333332</v>
      </c>
      <c r="E408" s="5">
        <v>46296</v>
      </c>
      <c r="F408" t="s">
        <v>24</v>
      </c>
      <c r="G408" t="s">
        <v>25</v>
      </c>
      <c r="H408" t="s">
        <v>26</v>
      </c>
      <c r="I408" t="s">
        <v>27</v>
      </c>
      <c r="J408" t="s">
        <v>27</v>
      </c>
      <c r="K408" t="s">
        <v>395</v>
      </c>
      <c r="L408" s="2" t="s">
        <v>218</v>
      </c>
      <c r="M408" s="8" t="s">
        <v>219</v>
      </c>
      <c r="N408" s="7">
        <v>1.9</v>
      </c>
      <c r="O408" s="2">
        <v>1</v>
      </c>
      <c r="P408" s="7">
        <v>1.9</v>
      </c>
      <c r="Q408" s="7">
        <v>0</v>
      </c>
      <c r="R408" s="7">
        <v>0.28999999999999998</v>
      </c>
      <c r="S408" s="7">
        <v>1.84</v>
      </c>
      <c r="T408" s="7">
        <v>2.19</v>
      </c>
      <c r="U408">
        <v>5</v>
      </c>
      <c r="V408">
        <v>5</v>
      </c>
    </row>
    <row r="409" spans="1:22">
      <c r="A409">
        <v>405</v>
      </c>
      <c r="B409" s="4">
        <v>46296.564583333333</v>
      </c>
      <c r="C409" s="5">
        <v>46296</v>
      </c>
      <c r="D409" s="6">
        <v>2.5646412037037036</v>
      </c>
      <c r="E409" s="5">
        <v>46296</v>
      </c>
      <c r="F409" t="s">
        <v>24</v>
      </c>
      <c r="G409" t="s">
        <v>25</v>
      </c>
      <c r="H409" t="s">
        <v>26</v>
      </c>
      <c r="I409" t="s">
        <v>27</v>
      </c>
      <c r="J409" t="s">
        <v>27</v>
      </c>
      <c r="K409" t="s">
        <v>395</v>
      </c>
      <c r="L409" s="2" t="s">
        <v>35</v>
      </c>
      <c r="M409" s="8" t="s">
        <v>36</v>
      </c>
      <c r="N409" s="7">
        <v>0.81</v>
      </c>
      <c r="O409" s="2">
        <v>1</v>
      </c>
      <c r="P409" s="7">
        <v>0.81</v>
      </c>
      <c r="Q409" s="7">
        <v>0</v>
      </c>
      <c r="R409" s="7">
        <v>0.13</v>
      </c>
      <c r="S409" s="7">
        <v>0.38</v>
      </c>
      <c r="T409" s="7">
        <v>0.94</v>
      </c>
      <c r="U409">
        <v>5</v>
      </c>
      <c r="V409">
        <v>5</v>
      </c>
    </row>
    <row r="410" spans="1:22">
      <c r="A410">
        <v>406</v>
      </c>
      <c r="B410" s="4">
        <v>46296.569560185184</v>
      </c>
      <c r="C410" s="5">
        <v>46296</v>
      </c>
      <c r="D410" s="6">
        <v>2.5695486111111112</v>
      </c>
      <c r="E410" s="5">
        <v>46296</v>
      </c>
      <c r="F410" t="s">
        <v>24</v>
      </c>
      <c r="G410" t="s">
        <v>25</v>
      </c>
      <c r="H410" t="s">
        <v>26</v>
      </c>
      <c r="I410" t="s">
        <v>27</v>
      </c>
      <c r="J410" t="s">
        <v>27</v>
      </c>
      <c r="K410" t="s">
        <v>396</v>
      </c>
      <c r="L410" s="2" t="s">
        <v>47</v>
      </c>
      <c r="M410" s="8" t="s">
        <v>48</v>
      </c>
      <c r="N410" s="7">
        <v>0.05</v>
      </c>
      <c r="O410" s="2">
        <v>10</v>
      </c>
      <c r="P410" s="7">
        <v>0.5</v>
      </c>
      <c r="Q410" s="7">
        <v>0</v>
      </c>
      <c r="R410" s="7">
        <v>0.08</v>
      </c>
      <c r="S410" s="7">
        <v>0.23</v>
      </c>
      <c r="T410" s="7">
        <v>0.57999999999999996</v>
      </c>
      <c r="U410">
        <v>5</v>
      </c>
      <c r="V410">
        <v>5</v>
      </c>
    </row>
    <row r="411" spans="1:22">
      <c r="A411">
        <v>407</v>
      </c>
      <c r="B411" s="4">
        <v>46296.575636574074</v>
      </c>
      <c r="C411" s="5">
        <v>46296</v>
      </c>
      <c r="D411" s="6">
        <v>2.5756250000000001</v>
      </c>
      <c r="E411" s="5">
        <v>46296</v>
      </c>
      <c r="F411" t="s">
        <v>24</v>
      </c>
      <c r="G411" t="s">
        <v>25</v>
      </c>
      <c r="H411" t="s">
        <v>26</v>
      </c>
      <c r="I411" t="s">
        <v>27</v>
      </c>
      <c r="J411" t="s">
        <v>27</v>
      </c>
      <c r="K411" t="s">
        <v>397</v>
      </c>
      <c r="L411" s="2" t="s">
        <v>103</v>
      </c>
      <c r="M411" s="8" t="s">
        <v>104</v>
      </c>
      <c r="N411" s="7">
        <v>1.35</v>
      </c>
      <c r="O411" s="2">
        <v>1</v>
      </c>
      <c r="P411" s="7">
        <v>1.35</v>
      </c>
      <c r="Q411" s="7">
        <v>0</v>
      </c>
      <c r="R411" s="7">
        <v>0.21</v>
      </c>
      <c r="S411" s="7">
        <v>0.5</v>
      </c>
      <c r="T411" s="7">
        <v>1.56</v>
      </c>
      <c r="U411">
        <v>5</v>
      </c>
      <c r="V411">
        <v>5</v>
      </c>
    </row>
    <row r="412" spans="1:22">
      <c r="A412">
        <v>408</v>
      </c>
      <c r="B412" s="4">
        <v>46296.58452546296</v>
      </c>
      <c r="C412" s="5">
        <v>46296</v>
      </c>
      <c r="D412" s="6">
        <v>2.5845254629629628</v>
      </c>
      <c r="E412" s="5">
        <v>46296</v>
      </c>
      <c r="F412" t="s">
        <v>24</v>
      </c>
      <c r="G412" t="s">
        <v>25</v>
      </c>
      <c r="H412" t="s">
        <v>26</v>
      </c>
      <c r="I412" t="s">
        <v>27</v>
      </c>
      <c r="J412" t="s">
        <v>27</v>
      </c>
      <c r="K412" t="s">
        <v>398</v>
      </c>
      <c r="L412" s="2" t="s">
        <v>250</v>
      </c>
      <c r="M412" s="8" t="s">
        <v>251</v>
      </c>
      <c r="N412" s="7">
        <v>1.35</v>
      </c>
      <c r="O412" s="2">
        <v>2</v>
      </c>
      <c r="P412" s="7">
        <v>2.7</v>
      </c>
      <c r="Q412" s="7">
        <v>0</v>
      </c>
      <c r="R412" s="7">
        <v>0.42</v>
      </c>
      <c r="S412" s="7">
        <v>2.6</v>
      </c>
      <c r="T412" s="7">
        <v>3.12</v>
      </c>
      <c r="U412">
        <v>5</v>
      </c>
      <c r="V412">
        <v>5</v>
      </c>
    </row>
    <row r="413" spans="1:22">
      <c r="A413">
        <v>409</v>
      </c>
      <c r="B413" s="4">
        <v>46296.600578703707</v>
      </c>
      <c r="C413" s="5">
        <v>46296</v>
      </c>
      <c r="D413" s="6">
        <v>2.6005787037037038</v>
      </c>
      <c r="E413" s="5">
        <v>46296</v>
      </c>
      <c r="F413" t="s">
        <v>24</v>
      </c>
      <c r="G413" t="s">
        <v>25</v>
      </c>
      <c r="H413" t="s">
        <v>26</v>
      </c>
      <c r="I413" t="s">
        <v>27</v>
      </c>
      <c r="J413" t="s">
        <v>27</v>
      </c>
      <c r="K413" t="s">
        <v>399</v>
      </c>
      <c r="L413" s="2" t="s">
        <v>47</v>
      </c>
      <c r="M413" s="8" t="s">
        <v>48</v>
      </c>
      <c r="N413" s="7">
        <v>0.05</v>
      </c>
      <c r="O413" s="2">
        <v>3</v>
      </c>
      <c r="P413" s="7">
        <v>0.15</v>
      </c>
      <c r="Q413" s="7">
        <v>0</v>
      </c>
      <c r="R413" s="7">
        <v>0.02</v>
      </c>
      <c r="S413" s="7">
        <v>7.0000000000000007E-2</v>
      </c>
      <c r="T413" s="7">
        <v>0.17</v>
      </c>
      <c r="U413">
        <v>6</v>
      </c>
      <c r="V413">
        <v>6</v>
      </c>
    </row>
    <row r="414" spans="1:22">
      <c r="A414">
        <v>410</v>
      </c>
      <c r="B414" s="4">
        <v>46296.604780092595</v>
      </c>
      <c r="C414" s="5">
        <v>46296</v>
      </c>
      <c r="D414" s="6">
        <v>2.6047800925925926</v>
      </c>
      <c r="E414" s="5">
        <v>46296</v>
      </c>
      <c r="F414" t="s">
        <v>24</v>
      </c>
      <c r="G414" t="s">
        <v>25</v>
      </c>
      <c r="H414" t="s">
        <v>26</v>
      </c>
      <c r="I414" t="s">
        <v>27</v>
      </c>
      <c r="J414" t="s">
        <v>27</v>
      </c>
      <c r="K414" t="s">
        <v>400</v>
      </c>
      <c r="L414" s="2" t="s">
        <v>124</v>
      </c>
      <c r="M414" s="8" t="s">
        <v>125</v>
      </c>
      <c r="N414" s="7">
        <v>1.08</v>
      </c>
      <c r="O414" s="2">
        <v>1</v>
      </c>
      <c r="P414" s="7">
        <v>1.08</v>
      </c>
      <c r="Q414" s="7">
        <v>0</v>
      </c>
      <c r="R414" s="7">
        <v>0.17</v>
      </c>
      <c r="S414" s="7">
        <v>1.05</v>
      </c>
      <c r="T414" s="7">
        <v>1.25</v>
      </c>
      <c r="U414">
        <v>6</v>
      </c>
      <c r="V414">
        <v>6</v>
      </c>
    </row>
    <row r="415" spans="1:22">
      <c r="A415">
        <v>411</v>
      </c>
      <c r="B415" s="4">
        <v>46296.605937499997</v>
      </c>
      <c r="C415" s="5">
        <v>46296</v>
      </c>
      <c r="D415" s="6">
        <v>2.6059375</v>
      </c>
      <c r="E415" s="5">
        <v>46296</v>
      </c>
      <c r="F415" t="s">
        <v>24</v>
      </c>
      <c r="G415" t="s">
        <v>25</v>
      </c>
      <c r="H415" t="s">
        <v>26</v>
      </c>
      <c r="I415" t="s">
        <v>27</v>
      </c>
      <c r="J415" t="s">
        <v>27</v>
      </c>
      <c r="K415" t="s">
        <v>401</v>
      </c>
      <c r="L415" s="2" t="s">
        <v>47</v>
      </c>
      <c r="M415" s="8" t="s">
        <v>48</v>
      </c>
      <c r="N415" s="7">
        <v>0.05</v>
      </c>
      <c r="O415" s="2">
        <v>5</v>
      </c>
      <c r="P415" s="7">
        <v>0.25</v>
      </c>
      <c r="Q415" s="7">
        <v>0</v>
      </c>
      <c r="R415" s="7">
        <v>0.04</v>
      </c>
      <c r="S415" s="7">
        <v>0.11</v>
      </c>
      <c r="T415" s="7">
        <v>0.28999999999999998</v>
      </c>
      <c r="U415">
        <v>6</v>
      </c>
      <c r="V415">
        <v>6</v>
      </c>
    </row>
    <row r="416" spans="1:22">
      <c r="A416">
        <v>412</v>
      </c>
      <c r="B416" s="4">
        <v>46296.615104166667</v>
      </c>
      <c r="C416" s="5">
        <v>46296</v>
      </c>
      <c r="D416" s="6">
        <v>2.6151041666666668</v>
      </c>
      <c r="E416" s="5">
        <v>46296</v>
      </c>
      <c r="F416" t="s">
        <v>24</v>
      </c>
      <c r="G416" t="s">
        <v>25</v>
      </c>
      <c r="H416" t="s">
        <v>26</v>
      </c>
      <c r="I416" t="s">
        <v>27</v>
      </c>
      <c r="J416" t="s">
        <v>27</v>
      </c>
      <c r="K416" t="s">
        <v>402</v>
      </c>
      <c r="L416" s="2" t="s">
        <v>35</v>
      </c>
      <c r="M416" s="8" t="s">
        <v>36</v>
      </c>
      <c r="N416" s="7">
        <v>0.81</v>
      </c>
      <c r="O416" s="2">
        <v>1</v>
      </c>
      <c r="P416" s="7">
        <v>0.81</v>
      </c>
      <c r="Q416" s="7">
        <v>0</v>
      </c>
      <c r="R416" s="7">
        <v>0.13</v>
      </c>
      <c r="S416" s="7">
        <v>0.38</v>
      </c>
      <c r="T416" s="7">
        <v>0.94</v>
      </c>
      <c r="U416">
        <v>6</v>
      </c>
      <c r="V416">
        <v>6</v>
      </c>
    </row>
    <row r="417" spans="1:22">
      <c r="A417">
        <v>413</v>
      </c>
      <c r="B417" s="4">
        <v>46296.615532407406</v>
      </c>
      <c r="C417" s="5">
        <v>46296</v>
      </c>
      <c r="D417" s="6">
        <v>2.6155324074074073</v>
      </c>
      <c r="E417" s="5">
        <v>46296</v>
      </c>
      <c r="F417" t="s">
        <v>24</v>
      </c>
      <c r="G417" t="s">
        <v>25</v>
      </c>
      <c r="H417" t="s">
        <v>26</v>
      </c>
      <c r="I417" t="s">
        <v>27</v>
      </c>
      <c r="J417" t="s">
        <v>27</v>
      </c>
      <c r="K417" t="s">
        <v>403</v>
      </c>
      <c r="L417" s="2" t="s">
        <v>66</v>
      </c>
      <c r="M417" s="8" t="s">
        <v>67</v>
      </c>
      <c r="N417" s="7">
        <v>2.19</v>
      </c>
      <c r="O417" s="2">
        <v>1</v>
      </c>
      <c r="P417" s="7">
        <v>2.19</v>
      </c>
      <c r="Q417" s="7">
        <v>0</v>
      </c>
      <c r="R417" s="7">
        <v>0</v>
      </c>
      <c r="S417" s="7">
        <v>2.1</v>
      </c>
      <c r="T417" s="7">
        <v>2.19</v>
      </c>
      <c r="U417">
        <v>6</v>
      </c>
      <c r="V417">
        <v>6</v>
      </c>
    </row>
    <row r="418" spans="1:22">
      <c r="A418">
        <v>414</v>
      </c>
      <c r="B418" s="4">
        <v>46296.62222222222</v>
      </c>
      <c r="C418" s="5">
        <v>46296</v>
      </c>
      <c r="D418" s="6">
        <v>2.622210648148148</v>
      </c>
      <c r="E418" s="5">
        <v>46296</v>
      </c>
      <c r="F418" t="s">
        <v>24</v>
      </c>
      <c r="G418" t="s">
        <v>25</v>
      </c>
      <c r="H418" t="s">
        <v>26</v>
      </c>
      <c r="I418" t="s">
        <v>27</v>
      </c>
      <c r="J418" t="s">
        <v>27</v>
      </c>
      <c r="K418" t="s">
        <v>404</v>
      </c>
      <c r="L418" s="2" t="s">
        <v>229</v>
      </c>
      <c r="M418" s="8" t="s">
        <v>230</v>
      </c>
      <c r="N418" s="7">
        <v>0.81</v>
      </c>
      <c r="O418" s="2">
        <v>1</v>
      </c>
      <c r="P418" s="7">
        <v>0.81</v>
      </c>
      <c r="Q418" s="7">
        <v>0</v>
      </c>
      <c r="R418" s="7">
        <v>0.13</v>
      </c>
      <c r="S418" s="7">
        <v>0.79</v>
      </c>
      <c r="T418" s="7">
        <v>0.94</v>
      </c>
      <c r="U418">
        <v>6</v>
      </c>
      <c r="V418">
        <v>6</v>
      </c>
    </row>
    <row r="419" spans="1:22">
      <c r="A419">
        <v>415</v>
      </c>
      <c r="B419" s="4">
        <v>46296.62222222222</v>
      </c>
      <c r="C419" s="5">
        <v>46296</v>
      </c>
      <c r="D419" s="6">
        <v>2.6224652777777777</v>
      </c>
      <c r="E419" s="5">
        <v>46296</v>
      </c>
      <c r="F419" t="s">
        <v>24</v>
      </c>
      <c r="G419" t="s">
        <v>25</v>
      </c>
      <c r="H419" t="s">
        <v>26</v>
      </c>
      <c r="I419" t="s">
        <v>27</v>
      </c>
      <c r="J419" t="s">
        <v>27</v>
      </c>
      <c r="K419" t="s">
        <v>404</v>
      </c>
      <c r="L419" s="2" t="s">
        <v>290</v>
      </c>
      <c r="M419" s="8" t="s">
        <v>291</v>
      </c>
      <c r="N419" s="7">
        <v>0.55000000000000004</v>
      </c>
      <c r="O419" s="2">
        <v>1</v>
      </c>
      <c r="P419" s="7">
        <v>0.55000000000000004</v>
      </c>
      <c r="Q419" s="7">
        <v>0</v>
      </c>
      <c r="R419" s="7">
        <v>0.08</v>
      </c>
      <c r="S419" s="7">
        <v>0.24</v>
      </c>
      <c r="T419" s="7">
        <v>0.63</v>
      </c>
      <c r="U419">
        <v>6</v>
      </c>
      <c r="V419">
        <v>6</v>
      </c>
    </row>
    <row r="420" spans="1:22">
      <c r="A420">
        <v>416</v>
      </c>
      <c r="B420" s="4">
        <v>46296.644456018519</v>
      </c>
      <c r="C420" s="5">
        <v>46296</v>
      </c>
      <c r="D420" s="6">
        <v>2.6444560185185186</v>
      </c>
      <c r="E420" s="5">
        <v>46296</v>
      </c>
      <c r="F420" t="s">
        <v>24</v>
      </c>
      <c r="G420" t="s">
        <v>25</v>
      </c>
      <c r="H420" t="s">
        <v>26</v>
      </c>
      <c r="I420" t="s">
        <v>27</v>
      </c>
      <c r="J420" t="s">
        <v>27</v>
      </c>
      <c r="K420" t="s">
        <v>405</v>
      </c>
      <c r="L420" s="2" t="s">
        <v>81</v>
      </c>
      <c r="M420" s="8" t="s">
        <v>82</v>
      </c>
      <c r="N420" s="7">
        <v>1.08</v>
      </c>
      <c r="O420" s="2">
        <v>1</v>
      </c>
      <c r="P420" s="7">
        <v>1.08</v>
      </c>
      <c r="Q420" s="7">
        <v>0</v>
      </c>
      <c r="R420" s="7">
        <v>0.17</v>
      </c>
      <c r="S420" s="7">
        <v>0.26</v>
      </c>
      <c r="T420" s="7">
        <v>1.25</v>
      </c>
      <c r="U420">
        <v>6</v>
      </c>
      <c r="V420">
        <v>6</v>
      </c>
    </row>
    <row r="421" spans="1:22">
      <c r="A421">
        <v>417</v>
      </c>
      <c r="B421" s="4">
        <v>46296.644456018519</v>
      </c>
      <c r="C421" s="5">
        <v>46296</v>
      </c>
      <c r="D421" s="6">
        <v>2.644675925925926</v>
      </c>
      <c r="E421" s="5">
        <v>46296</v>
      </c>
      <c r="F421" t="s">
        <v>24</v>
      </c>
      <c r="G421" t="s">
        <v>25</v>
      </c>
      <c r="H421" t="s">
        <v>26</v>
      </c>
      <c r="I421" t="s">
        <v>27</v>
      </c>
      <c r="J421" t="s">
        <v>27</v>
      </c>
      <c r="K421" t="s">
        <v>405</v>
      </c>
      <c r="L421" s="2" t="s">
        <v>105</v>
      </c>
      <c r="M421" s="8" t="s">
        <v>106</v>
      </c>
      <c r="N421" s="7">
        <v>0.38</v>
      </c>
      <c r="O421" s="2">
        <v>1</v>
      </c>
      <c r="P421" s="7">
        <v>0.38</v>
      </c>
      <c r="Q421" s="7">
        <v>0</v>
      </c>
      <c r="R421" s="7">
        <v>0.06</v>
      </c>
      <c r="S421" s="7">
        <v>0.37</v>
      </c>
      <c r="T421" s="7">
        <v>0.44</v>
      </c>
      <c r="U421">
        <v>6</v>
      </c>
      <c r="V421">
        <v>6</v>
      </c>
    </row>
    <row r="422" spans="1:22">
      <c r="A422">
        <v>418</v>
      </c>
      <c r="B422" s="4">
        <v>46296.644456018519</v>
      </c>
      <c r="C422" s="5">
        <v>46296</v>
      </c>
      <c r="D422" s="6">
        <v>2.6448263888888888</v>
      </c>
      <c r="E422" s="5">
        <v>46296</v>
      </c>
      <c r="F422" t="s">
        <v>24</v>
      </c>
      <c r="G422" t="s">
        <v>25</v>
      </c>
      <c r="H422" t="s">
        <v>26</v>
      </c>
      <c r="I422" t="s">
        <v>27</v>
      </c>
      <c r="J422" t="s">
        <v>27</v>
      </c>
      <c r="K422" t="s">
        <v>405</v>
      </c>
      <c r="L422" s="2" t="s">
        <v>140</v>
      </c>
      <c r="M422" s="8" t="s">
        <v>141</v>
      </c>
      <c r="N422" s="7">
        <v>0.55000000000000004</v>
      </c>
      <c r="O422" s="2">
        <v>1</v>
      </c>
      <c r="P422" s="7">
        <v>0.55000000000000004</v>
      </c>
      <c r="Q422" s="7">
        <v>0</v>
      </c>
      <c r="R422" s="7">
        <v>0.08</v>
      </c>
      <c r="S422" s="7">
        <v>0.53</v>
      </c>
      <c r="T422" s="7">
        <v>0.63</v>
      </c>
      <c r="U422">
        <v>6</v>
      </c>
      <c r="V422">
        <v>6</v>
      </c>
    </row>
    <row r="423" spans="1:22">
      <c r="A423">
        <v>419</v>
      </c>
      <c r="B423" s="4">
        <v>46296.646944444445</v>
      </c>
      <c r="C423" s="5">
        <v>46296</v>
      </c>
      <c r="D423" s="6">
        <v>2.6469444444444443</v>
      </c>
      <c r="E423" s="5">
        <v>46296</v>
      </c>
      <c r="F423" t="s">
        <v>24</v>
      </c>
      <c r="G423" t="s">
        <v>25</v>
      </c>
      <c r="H423" t="s">
        <v>26</v>
      </c>
      <c r="I423" t="s">
        <v>27</v>
      </c>
      <c r="J423" t="s">
        <v>27</v>
      </c>
      <c r="K423" t="s">
        <v>406</v>
      </c>
      <c r="L423" s="2" t="s">
        <v>331</v>
      </c>
      <c r="M423" s="8" t="s">
        <v>332</v>
      </c>
      <c r="N423" s="7">
        <v>0.55000000000000004</v>
      </c>
      <c r="O423" s="2">
        <v>1</v>
      </c>
      <c r="P423" s="7">
        <v>0.55000000000000004</v>
      </c>
      <c r="Q423" s="7">
        <v>0</v>
      </c>
      <c r="R423" s="7">
        <v>0.08</v>
      </c>
      <c r="S423" s="7">
        <v>0.53</v>
      </c>
      <c r="T423" s="7">
        <v>0.63</v>
      </c>
      <c r="U423">
        <v>6</v>
      </c>
      <c r="V423">
        <v>6</v>
      </c>
    </row>
    <row r="424" spans="1:22">
      <c r="A424">
        <v>420</v>
      </c>
      <c r="B424" s="4">
        <v>46296.650613425925</v>
      </c>
      <c r="C424" s="5">
        <v>46296</v>
      </c>
      <c r="D424" s="6">
        <v>2.6506018518518517</v>
      </c>
      <c r="E424" s="5">
        <v>46296</v>
      </c>
      <c r="F424" t="s">
        <v>24</v>
      </c>
      <c r="G424" t="s">
        <v>25</v>
      </c>
      <c r="H424" t="s">
        <v>26</v>
      </c>
      <c r="I424" t="s">
        <v>27</v>
      </c>
      <c r="J424" t="s">
        <v>27</v>
      </c>
      <c r="K424" t="s">
        <v>407</v>
      </c>
      <c r="L424" s="2" t="s">
        <v>192</v>
      </c>
      <c r="M424" s="8" t="s">
        <v>193</v>
      </c>
      <c r="N424" s="7">
        <v>1.35</v>
      </c>
      <c r="O424" s="2">
        <v>1</v>
      </c>
      <c r="P424" s="7">
        <v>1.35</v>
      </c>
      <c r="Q424" s="7">
        <v>0</v>
      </c>
      <c r="R424" s="7">
        <v>0.21</v>
      </c>
      <c r="S424" s="7">
        <v>1.3</v>
      </c>
      <c r="T424" s="7">
        <v>1.56</v>
      </c>
      <c r="U424">
        <v>6</v>
      </c>
      <c r="V424">
        <v>6</v>
      </c>
    </row>
    <row r="425" spans="1:22">
      <c r="A425">
        <v>421</v>
      </c>
      <c r="B425" s="4">
        <v>46296.650613425925</v>
      </c>
      <c r="C425" s="5">
        <v>46296</v>
      </c>
      <c r="D425" s="6">
        <v>2.6506597222222221</v>
      </c>
      <c r="E425" s="5">
        <v>46296</v>
      </c>
      <c r="F425" t="s">
        <v>24</v>
      </c>
      <c r="G425" t="s">
        <v>25</v>
      </c>
      <c r="H425" t="s">
        <v>26</v>
      </c>
      <c r="I425" t="s">
        <v>27</v>
      </c>
      <c r="J425" t="s">
        <v>27</v>
      </c>
      <c r="K425" t="s">
        <v>407</v>
      </c>
      <c r="L425" s="2" t="s">
        <v>113</v>
      </c>
      <c r="M425" s="8" t="s">
        <v>114</v>
      </c>
      <c r="N425" s="7">
        <v>1.08</v>
      </c>
      <c r="O425" s="2">
        <v>1</v>
      </c>
      <c r="P425" s="7">
        <v>1.08</v>
      </c>
      <c r="Q425" s="7">
        <v>0</v>
      </c>
      <c r="R425" s="7">
        <v>0.17</v>
      </c>
      <c r="S425" s="7">
        <v>0.26</v>
      </c>
      <c r="T425" s="7">
        <v>1.25</v>
      </c>
      <c r="U425">
        <v>6</v>
      </c>
      <c r="V425">
        <v>6</v>
      </c>
    </row>
    <row r="426" spans="1:22">
      <c r="A426">
        <v>422</v>
      </c>
      <c r="B426" s="4">
        <v>46296.650613425925</v>
      </c>
      <c r="C426" s="5">
        <v>46296</v>
      </c>
      <c r="D426" s="6">
        <v>2.6508912037037038</v>
      </c>
      <c r="E426" s="5">
        <v>46296</v>
      </c>
      <c r="F426" t="s">
        <v>24</v>
      </c>
      <c r="G426" t="s">
        <v>25</v>
      </c>
      <c r="H426" t="s">
        <v>26</v>
      </c>
      <c r="I426" t="s">
        <v>27</v>
      </c>
      <c r="J426" t="s">
        <v>27</v>
      </c>
      <c r="K426" t="s">
        <v>407</v>
      </c>
      <c r="L426" s="2" t="s">
        <v>120</v>
      </c>
      <c r="M426" s="8" t="s">
        <v>121</v>
      </c>
      <c r="N426" s="7">
        <v>0.81</v>
      </c>
      <c r="O426" s="2">
        <v>1</v>
      </c>
      <c r="P426" s="7">
        <v>0.81</v>
      </c>
      <c r="Q426" s="7">
        <v>0</v>
      </c>
      <c r="R426" s="7">
        <v>0.13</v>
      </c>
      <c r="S426" s="7">
        <v>0.79</v>
      </c>
      <c r="T426" s="7">
        <v>0.94</v>
      </c>
      <c r="U426">
        <v>6</v>
      </c>
      <c r="V426">
        <v>6</v>
      </c>
    </row>
    <row r="427" spans="1:22">
      <c r="A427">
        <v>423</v>
      </c>
      <c r="B427" s="4">
        <v>46296.668935185182</v>
      </c>
      <c r="C427" s="5">
        <v>46296</v>
      </c>
      <c r="D427" s="6">
        <v>2.668923611111111</v>
      </c>
      <c r="E427" s="5">
        <v>46296</v>
      </c>
      <c r="F427" t="s">
        <v>24</v>
      </c>
      <c r="G427" t="s">
        <v>25</v>
      </c>
      <c r="H427" t="s">
        <v>26</v>
      </c>
      <c r="I427" t="s">
        <v>27</v>
      </c>
      <c r="J427" t="s">
        <v>27</v>
      </c>
      <c r="K427" t="s">
        <v>408</v>
      </c>
      <c r="L427" s="2" t="s">
        <v>409</v>
      </c>
      <c r="M427" s="8" t="s">
        <v>410</v>
      </c>
      <c r="N427" s="7">
        <v>1.63</v>
      </c>
      <c r="O427" s="2">
        <v>1</v>
      </c>
      <c r="P427" s="7">
        <v>1.63</v>
      </c>
      <c r="Q427" s="7">
        <v>0</v>
      </c>
      <c r="R427" s="7">
        <v>0.25</v>
      </c>
      <c r="S427" s="7">
        <v>0.73</v>
      </c>
      <c r="T427" s="7">
        <v>1.88</v>
      </c>
      <c r="U427">
        <v>6</v>
      </c>
      <c r="V427">
        <v>6</v>
      </c>
    </row>
    <row r="428" spans="1:22">
      <c r="A428">
        <v>424</v>
      </c>
      <c r="B428" s="4">
        <v>46296.668935185182</v>
      </c>
      <c r="C428" s="5">
        <v>46296</v>
      </c>
      <c r="D428" s="6">
        <v>2.6690509259259261</v>
      </c>
      <c r="E428" s="5">
        <v>46296</v>
      </c>
      <c r="F428" t="s">
        <v>24</v>
      </c>
      <c r="G428" t="s">
        <v>25</v>
      </c>
      <c r="H428" t="s">
        <v>26</v>
      </c>
      <c r="I428" t="s">
        <v>27</v>
      </c>
      <c r="J428" t="s">
        <v>27</v>
      </c>
      <c r="K428" t="s">
        <v>408</v>
      </c>
      <c r="L428" s="3" t="s">
        <v>231</v>
      </c>
      <c r="M428" s="8" t="s">
        <v>232</v>
      </c>
      <c r="N428" s="7">
        <v>0.55000000000000004</v>
      </c>
      <c r="O428" s="2">
        <v>1</v>
      </c>
      <c r="P428" s="7">
        <v>0.55000000000000004</v>
      </c>
      <c r="Q428" s="7">
        <v>0</v>
      </c>
      <c r="R428" s="7">
        <v>0.08</v>
      </c>
      <c r="S428" s="7">
        <v>0.54</v>
      </c>
      <c r="T428" s="7">
        <v>0.63</v>
      </c>
      <c r="U428">
        <v>6</v>
      </c>
      <c r="V428">
        <v>6</v>
      </c>
    </row>
    <row r="429" spans="1:22">
      <c r="A429">
        <v>425</v>
      </c>
      <c r="B429" s="4">
        <v>46296.673900462964</v>
      </c>
      <c r="C429" s="5">
        <v>46296</v>
      </c>
      <c r="D429" s="6">
        <v>2.6739004629629628</v>
      </c>
      <c r="E429" s="5">
        <v>46296</v>
      </c>
      <c r="F429" t="s">
        <v>24</v>
      </c>
      <c r="G429" t="s">
        <v>25</v>
      </c>
      <c r="H429" t="s">
        <v>26</v>
      </c>
      <c r="I429" t="s">
        <v>27</v>
      </c>
      <c r="J429" t="s">
        <v>27</v>
      </c>
      <c r="K429" t="s">
        <v>411</v>
      </c>
      <c r="L429" s="3" t="s">
        <v>270</v>
      </c>
      <c r="M429" s="8" t="s">
        <v>271</v>
      </c>
      <c r="N429" s="7">
        <v>1.35</v>
      </c>
      <c r="O429" s="2">
        <v>1</v>
      </c>
      <c r="P429" s="7">
        <v>1.35</v>
      </c>
      <c r="Q429" s="7">
        <v>0</v>
      </c>
      <c r="R429" s="7">
        <v>0.21</v>
      </c>
      <c r="S429" s="7">
        <v>0.45</v>
      </c>
      <c r="T429" s="7">
        <v>1.56</v>
      </c>
      <c r="U429">
        <v>6</v>
      </c>
      <c r="V429">
        <v>6</v>
      </c>
    </row>
    <row r="430" spans="1:22">
      <c r="A430">
        <v>426</v>
      </c>
      <c r="B430" s="4">
        <v>46296.673900462964</v>
      </c>
      <c r="C430" s="5">
        <v>46296</v>
      </c>
      <c r="D430" s="6">
        <v>2.6740393518518517</v>
      </c>
      <c r="E430" s="5">
        <v>46296</v>
      </c>
      <c r="F430" t="s">
        <v>24</v>
      </c>
      <c r="G430" t="s">
        <v>25</v>
      </c>
      <c r="H430" t="s">
        <v>26</v>
      </c>
      <c r="I430" t="s">
        <v>27</v>
      </c>
      <c r="J430" t="s">
        <v>27</v>
      </c>
      <c r="K430" t="s">
        <v>411</v>
      </c>
      <c r="L430" s="2" t="s">
        <v>143</v>
      </c>
      <c r="M430" s="8" t="s">
        <v>144</v>
      </c>
      <c r="N430" s="7">
        <v>1.25</v>
      </c>
      <c r="O430" s="2">
        <v>1</v>
      </c>
      <c r="P430" s="7">
        <v>1.25</v>
      </c>
      <c r="Q430" s="7">
        <v>0</v>
      </c>
      <c r="R430" s="7">
        <v>0</v>
      </c>
      <c r="S430" s="7">
        <v>1.21</v>
      </c>
      <c r="T430" s="7">
        <v>1.25</v>
      </c>
      <c r="U430">
        <v>6</v>
      </c>
      <c r="V430">
        <v>6</v>
      </c>
    </row>
    <row r="431" spans="1:22">
      <c r="A431">
        <v>427</v>
      </c>
      <c r="B431" s="4">
        <v>46296.675057870372</v>
      </c>
      <c r="C431" s="5">
        <v>46296</v>
      </c>
      <c r="D431" s="6">
        <v>2.6750462962962964</v>
      </c>
      <c r="E431" s="5">
        <v>46296</v>
      </c>
      <c r="F431" t="s">
        <v>24</v>
      </c>
      <c r="G431" t="s">
        <v>25</v>
      </c>
      <c r="H431" t="s">
        <v>26</v>
      </c>
      <c r="I431" t="s">
        <v>27</v>
      </c>
      <c r="J431" t="s">
        <v>27</v>
      </c>
      <c r="K431" t="s">
        <v>412</v>
      </c>
      <c r="L431" s="2" t="s">
        <v>229</v>
      </c>
      <c r="M431" s="8" t="s">
        <v>230</v>
      </c>
      <c r="N431" s="7">
        <v>0.81</v>
      </c>
      <c r="O431" s="2">
        <v>1</v>
      </c>
      <c r="P431" s="7">
        <v>0.81</v>
      </c>
      <c r="Q431" s="7">
        <v>0</v>
      </c>
      <c r="R431" s="7">
        <v>0.13</v>
      </c>
      <c r="S431" s="7">
        <v>0.79</v>
      </c>
      <c r="T431" s="7">
        <v>0.94</v>
      </c>
      <c r="U431">
        <v>6</v>
      </c>
      <c r="V431">
        <v>6</v>
      </c>
    </row>
    <row r="432" spans="1:22">
      <c r="A432">
        <v>428</v>
      </c>
      <c r="B432" s="4">
        <v>46296.675057870372</v>
      </c>
      <c r="C432" s="5">
        <v>46296</v>
      </c>
      <c r="D432" s="6">
        <v>2.6751273148148149</v>
      </c>
      <c r="E432" s="5">
        <v>46296</v>
      </c>
      <c r="F432" t="s">
        <v>24</v>
      </c>
      <c r="G432" t="s">
        <v>25</v>
      </c>
      <c r="H432" t="s">
        <v>26</v>
      </c>
      <c r="I432" t="s">
        <v>27</v>
      </c>
      <c r="J432" t="s">
        <v>27</v>
      </c>
      <c r="K432" t="s">
        <v>412</v>
      </c>
      <c r="L432" s="3" t="s">
        <v>231</v>
      </c>
      <c r="M432" s="8" t="s">
        <v>232</v>
      </c>
      <c r="N432" s="7">
        <v>0.55000000000000004</v>
      </c>
      <c r="O432" s="2">
        <v>2</v>
      </c>
      <c r="P432" s="7">
        <v>1.1000000000000001</v>
      </c>
      <c r="Q432" s="7">
        <v>0</v>
      </c>
      <c r="R432" s="7">
        <v>0.17</v>
      </c>
      <c r="S432" s="7">
        <v>1.08</v>
      </c>
      <c r="T432" s="7">
        <v>1.27</v>
      </c>
      <c r="U432">
        <v>6</v>
      </c>
      <c r="V432">
        <v>6</v>
      </c>
    </row>
    <row r="433" spans="1:22">
      <c r="A433">
        <v>429</v>
      </c>
      <c r="B433" s="4">
        <v>46296.675057870372</v>
      </c>
      <c r="C433" s="5">
        <v>46296</v>
      </c>
      <c r="D433" s="6">
        <v>2.6752083333333334</v>
      </c>
      <c r="E433" s="5">
        <v>46296</v>
      </c>
      <c r="F433" t="s">
        <v>24</v>
      </c>
      <c r="G433" t="s">
        <v>25</v>
      </c>
      <c r="H433" t="s">
        <v>26</v>
      </c>
      <c r="I433" t="s">
        <v>27</v>
      </c>
      <c r="J433" t="s">
        <v>27</v>
      </c>
      <c r="K433" t="s">
        <v>412</v>
      </c>
      <c r="L433" s="2" t="s">
        <v>100</v>
      </c>
      <c r="M433" s="8" t="s">
        <v>101</v>
      </c>
      <c r="N433" s="7">
        <v>0.81</v>
      </c>
      <c r="O433" s="2">
        <v>2</v>
      </c>
      <c r="P433" s="7">
        <v>1.62</v>
      </c>
      <c r="Q433" s="7">
        <v>0</v>
      </c>
      <c r="R433" s="7">
        <v>0.25</v>
      </c>
      <c r="S433" s="7">
        <v>0.79</v>
      </c>
      <c r="T433" s="7">
        <v>1.87</v>
      </c>
      <c r="U433">
        <v>6</v>
      </c>
      <c r="V433">
        <v>6</v>
      </c>
    </row>
    <row r="434" spans="1:22">
      <c r="A434">
        <v>430</v>
      </c>
      <c r="B434" s="4">
        <v>46296.675057870372</v>
      </c>
      <c r="C434" s="5">
        <v>46296</v>
      </c>
      <c r="D434" s="6">
        <v>2.6756250000000001</v>
      </c>
      <c r="E434" s="5">
        <v>46296</v>
      </c>
      <c r="F434" t="s">
        <v>24</v>
      </c>
      <c r="G434" t="s">
        <v>25</v>
      </c>
      <c r="H434" t="s">
        <v>26</v>
      </c>
      <c r="I434" t="s">
        <v>27</v>
      </c>
      <c r="J434" t="s">
        <v>27</v>
      </c>
      <c r="K434" t="s">
        <v>412</v>
      </c>
      <c r="L434" s="2" t="s">
        <v>38</v>
      </c>
      <c r="M434" s="8" t="s">
        <v>39</v>
      </c>
      <c r="N434" s="7">
        <v>0.03</v>
      </c>
      <c r="O434" s="2">
        <v>2</v>
      </c>
      <c r="P434" s="7">
        <v>0.06</v>
      </c>
      <c r="Q434" s="7">
        <v>0</v>
      </c>
      <c r="R434" s="7">
        <v>0.01</v>
      </c>
      <c r="S434" s="7">
        <v>0.02</v>
      </c>
      <c r="T434" s="7">
        <v>7.0000000000000007E-2</v>
      </c>
      <c r="U434">
        <v>6</v>
      </c>
      <c r="V434">
        <v>6</v>
      </c>
    </row>
    <row r="435" spans="1:22">
      <c r="A435">
        <v>431</v>
      </c>
      <c r="B435" s="4">
        <v>46296.675057870372</v>
      </c>
      <c r="C435" s="5">
        <v>46296</v>
      </c>
      <c r="D435" s="6">
        <v>2.6756828703703706</v>
      </c>
      <c r="E435" s="5">
        <v>46296</v>
      </c>
      <c r="F435" t="s">
        <v>24</v>
      </c>
      <c r="G435" t="s">
        <v>25</v>
      </c>
      <c r="H435" t="s">
        <v>26</v>
      </c>
      <c r="I435" t="s">
        <v>27</v>
      </c>
      <c r="J435" t="s">
        <v>27</v>
      </c>
      <c r="K435" t="s">
        <v>412</v>
      </c>
      <c r="L435" s="2" t="s">
        <v>47</v>
      </c>
      <c r="M435" s="8" t="s">
        <v>48</v>
      </c>
      <c r="N435" s="7">
        <v>0.05</v>
      </c>
      <c r="O435" s="2">
        <v>3</v>
      </c>
      <c r="P435" s="7">
        <v>0.15</v>
      </c>
      <c r="Q435" s="7">
        <v>0</v>
      </c>
      <c r="R435" s="7">
        <v>0.02</v>
      </c>
      <c r="S435" s="7">
        <v>7.0000000000000007E-2</v>
      </c>
      <c r="T435" s="7">
        <v>0.17</v>
      </c>
      <c r="U435">
        <v>6</v>
      </c>
      <c r="V435">
        <v>6</v>
      </c>
    </row>
    <row r="436" spans="1:22">
      <c r="A436">
        <v>432</v>
      </c>
      <c r="B436" s="4">
        <v>46296.683194444442</v>
      </c>
      <c r="C436" s="5">
        <v>46296</v>
      </c>
      <c r="D436" s="6">
        <v>2.6831828703703704</v>
      </c>
      <c r="E436" s="5">
        <v>46296</v>
      </c>
      <c r="F436" t="s">
        <v>24</v>
      </c>
      <c r="G436" t="s">
        <v>25</v>
      </c>
      <c r="H436" t="s">
        <v>26</v>
      </c>
      <c r="I436" t="s">
        <v>27</v>
      </c>
      <c r="J436" t="s">
        <v>27</v>
      </c>
      <c r="K436" t="s">
        <v>413</v>
      </c>
      <c r="L436" s="2" t="s">
        <v>81</v>
      </c>
      <c r="M436" s="8" t="s">
        <v>82</v>
      </c>
      <c r="N436" s="7">
        <v>1.08</v>
      </c>
      <c r="O436" s="2">
        <v>1</v>
      </c>
      <c r="P436" s="7">
        <v>1.08</v>
      </c>
      <c r="Q436" s="7">
        <v>0</v>
      </c>
      <c r="R436" s="7">
        <v>0.17</v>
      </c>
      <c r="S436" s="7">
        <v>0.26</v>
      </c>
      <c r="T436" s="7">
        <v>1.25</v>
      </c>
      <c r="U436">
        <v>6</v>
      </c>
      <c r="V436">
        <v>6</v>
      </c>
    </row>
    <row r="437" spans="1:22">
      <c r="A437">
        <v>433</v>
      </c>
      <c r="B437" s="4">
        <v>46296.683194444442</v>
      </c>
      <c r="C437" s="5">
        <v>46296</v>
      </c>
      <c r="D437" s="6">
        <v>2.6832407407407408</v>
      </c>
      <c r="E437" s="5">
        <v>46296</v>
      </c>
      <c r="F437" t="s">
        <v>24</v>
      </c>
      <c r="G437" t="s">
        <v>25</v>
      </c>
      <c r="H437" t="s">
        <v>26</v>
      </c>
      <c r="I437" t="s">
        <v>27</v>
      </c>
      <c r="J437" t="s">
        <v>27</v>
      </c>
      <c r="K437" t="s">
        <v>413</v>
      </c>
      <c r="L437" s="3" t="s">
        <v>270</v>
      </c>
      <c r="M437" s="8" t="s">
        <v>271</v>
      </c>
      <c r="N437" s="7">
        <v>1.35</v>
      </c>
      <c r="O437" s="2">
        <v>1</v>
      </c>
      <c r="P437" s="7">
        <v>1.35</v>
      </c>
      <c r="Q437" s="7">
        <v>0</v>
      </c>
      <c r="R437" s="7">
        <v>0.21</v>
      </c>
      <c r="S437" s="7">
        <v>0.45</v>
      </c>
      <c r="T437" s="7">
        <v>1.56</v>
      </c>
      <c r="U437">
        <v>6</v>
      </c>
      <c r="V437">
        <v>6</v>
      </c>
    </row>
    <row r="438" spans="1:22">
      <c r="A438">
        <v>434</v>
      </c>
      <c r="B438" s="4">
        <v>46296.686319444445</v>
      </c>
      <c r="C438" s="5">
        <v>46296</v>
      </c>
      <c r="D438" s="6">
        <v>2.6863194444444445</v>
      </c>
      <c r="E438" s="5">
        <v>46296</v>
      </c>
      <c r="F438" t="s">
        <v>24</v>
      </c>
      <c r="G438" t="s">
        <v>25</v>
      </c>
      <c r="H438" t="s">
        <v>26</v>
      </c>
      <c r="I438" t="s">
        <v>27</v>
      </c>
      <c r="J438" t="s">
        <v>27</v>
      </c>
      <c r="K438" t="s">
        <v>414</v>
      </c>
      <c r="L438" s="2" t="s">
        <v>98</v>
      </c>
      <c r="M438" s="8" t="s">
        <v>99</v>
      </c>
      <c r="N438" s="7">
        <v>0.81</v>
      </c>
      <c r="O438" s="2">
        <v>1</v>
      </c>
      <c r="P438" s="7">
        <v>0.81</v>
      </c>
      <c r="Q438" s="7">
        <v>0</v>
      </c>
      <c r="R438" s="7">
        <v>0.13</v>
      </c>
      <c r="S438" s="7">
        <v>0.79</v>
      </c>
      <c r="T438" s="7">
        <v>0.94</v>
      </c>
      <c r="U438">
        <v>6</v>
      </c>
      <c r="V438">
        <v>6</v>
      </c>
    </row>
    <row r="439" spans="1:22">
      <c r="A439">
        <v>435</v>
      </c>
      <c r="B439" s="4">
        <v>46296.690729166665</v>
      </c>
      <c r="C439" s="5">
        <v>46296</v>
      </c>
      <c r="D439" s="6">
        <v>2.6907175925925926</v>
      </c>
      <c r="E439" s="5">
        <v>46296</v>
      </c>
      <c r="F439" t="s">
        <v>24</v>
      </c>
      <c r="G439" t="s">
        <v>25</v>
      </c>
      <c r="H439" t="s">
        <v>26</v>
      </c>
      <c r="I439" t="s">
        <v>27</v>
      </c>
      <c r="J439" t="s">
        <v>27</v>
      </c>
      <c r="K439" t="s">
        <v>415</v>
      </c>
      <c r="L439" s="3" t="s">
        <v>231</v>
      </c>
      <c r="M439" s="8" t="s">
        <v>232</v>
      </c>
      <c r="N439" s="7">
        <v>0.55000000000000004</v>
      </c>
      <c r="O439" s="2">
        <v>1</v>
      </c>
      <c r="P439" s="7">
        <v>0.55000000000000004</v>
      </c>
      <c r="Q439" s="7">
        <v>0</v>
      </c>
      <c r="R439" s="7">
        <v>0.08</v>
      </c>
      <c r="S439" s="7">
        <v>0.54</v>
      </c>
      <c r="T439" s="7">
        <v>0.63</v>
      </c>
      <c r="U439">
        <v>6</v>
      </c>
      <c r="V439">
        <v>6</v>
      </c>
    </row>
    <row r="440" spans="1:22">
      <c r="A440">
        <v>436</v>
      </c>
      <c r="B440" s="4">
        <v>46296.693680555552</v>
      </c>
      <c r="C440" s="5">
        <v>46296</v>
      </c>
      <c r="D440" s="6">
        <v>2.6936689814814816</v>
      </c>
      <c r="E440" s="5">
        <v>46296</v>
      </c>
      <c r="F440" t="s">
        <v>24</v>
      </c>
      <c r="G440" t="s">
        <v>25</v>
      </c>
      <c r="H440" t="s">
        <v>26</v>
      </c>
      <c r="I440" t="s">
        <v>27</v>
      </c>
      <c r="J440" t="s">
        <v>27</v>
      </c>
      <c r="K440" t="s">
        <v>416</v>
      </c>
      <c r="L440" s="2" t="s">
        <v>143</v>
      </c>
      <c r="M440" s="8" t="s">
        <v>144</v>
      </c>
      <c r="N440" s="7">
        <v>1.25</v>
      </c>
      <c r="O440" s="2">
        <v>1</v>
      </c>
      <c r="P440" s="7">
        <v>1.25</v>
      </c>
      <c r="Q440" s="7">
        <v>0</v>
      </c>
      <c r="R440" s="7">
        <v>0</v>
      </c>
      <c r="S440" s="7">
        <v>1.21</v>
      </c>
      <c r="T440" s="7">
        <v>1.25</v>
      </c>
      <c r="U440">
        <v>6</v>
      </c>
      <c r="V440">
        <v>6</v>
      </c>
    </row>
    <row r="441" spans="1:22">
      <c r="A441">
        <v>437</v>
      </c>
      <c r="B441" s="4">
        <v>46296.695451388892</v>
      </c>
      <c r="C441" s="5">
        <v>46296</v>
      </c>
      <c r="D441" s="6">
        <v>2.6954513888888889</v>
      </c>
      <c r="E441" s="5">
        <v>46296</v>
      </c>
      <c r="F441" t="s">
        <v>24</v>
      </c>
      <c r="G441" t="s">
        <v>25</v>
      </c>
      <c r="H441" t="s">
        <v>26</v>
      </c>
      <c r="I441" t="s">
        <v>27</v>
      </c>
      <c r="J441" t="s">
        <v>27</v>
      </c>
      <c r="K441" t="s">
        <v>417</v>
      </c>
      <c r="L441" s="2" t="s">
        <v>59</v>
      </c>
      <c r="M441" s="8" t="s">
        <v>60</v>
      </c>
      <c r="N441" s="7">
        <v>0.31</v>
      </c>
      <c r="O441" s="2">
        <v>2</v>
      </c>
      <c r="P441" s="7">
        <v>0.62</v>
      </c>
      <c r="Q441" s="7">
        <v>0</v>
      </c>
      <c r="R441" s="7">
        <v>0</v>
      </c>
      <c r="S441" s="7">
        <v>0.6</v>
      </c>
      <c r="T441" s="7">
        <v>0.62</v>
      </c>
      <c r="U441">
        <v>6</v>
      </c>
      <c r="V441">
        <v>6</v>
      </c>
    </row>
    <row r="442" spans="1:22">
      <c r="A442">
        <v>438</v>
      </c>
      <c r="B442" s="4">
        <v>46296.701817129629</v>
      </c>
      <c r="C442" s="5">
        <v>46296</v>
      </c>
      <c r="D442" s="6">
        <v>2.7018055555555556</v>
      </c>
      <c r="E442" s="5">
        <v>46296</v>
      </c>
      <c r="F442" t="s">
        <v>24</v>
      </c>
      <c r="G442" t="s">
        <v>25</v>
      </c>
      <c r="H442" t="s">
        <v>26</v>
      </c>
      <c r="I442" t="s">
        <v>27</v>
      </c>
      <c r="J442" t="s">
        <v>27</v>
      </c>
      <c r="K442" t="s">
        <v>418</v>
      </c>
      <c r="L442" s="2" t="s">
        <v>250</v>
      </c>
      <c r="M442" s="8" t="s">
        <v>251</v>
      </c>
      <c r="N442" s="7">
        <v>1.35</v>
      </c>
      <c r="O442" s="2">
        <v>1</v>
      </c>
      <c r="P442" s="7">
        <v>1.35</v>
      </c>
      <c r="Q442" s="7">
        <v>0</v>
      </c>
      <c r="R442" s="7">
        <v>0.21</v>
      </c>
      <c r="S442" s="7">
        <v>1.3</v>
      </c>
      <c r="T442" s="7">
        <v>1.56</v>
      </c>
      <c r="U442">
        <v>6</v>
      </c>
      <c r="V442">
        <v>6</v>
      </c>
    </row>
    <row r="443" spans="1:22">
      <c r="A443">
        <v>439</v>
      </c>
      <c r="B443" s="4">
        <v>46296.701817129629</v>
      </c>
      <c r="C443" s="5">
        <v>46296</v>
      </c>
      <c r="D443" s="6">
        <v>2.702210648148148</v>
      </c>
      <c r="E443" s="5">
        <v>46296</v>
      </c>
      <c r="F443" t="s">
        <v>24</v>
      </c>
      <c r="G443" t="s">
        <v>25</v>
      </c>
      <c r="H443" t="s">
        <v>26</v>
      </c>
      <c r="I443" t="s">
        <v>27</v>
      </c>
      <c r="J443" t="s">
        <v>27</v>
      </c>
      <c r="K443" t="s">
        <v>418</v>
      </c>
      <c r="L443" s="2" t="s">
        <v>109</v>
      </c>
      <c r="M443" s="8" t="s">
        <v>110</v>
      </c>
      <c r="N443" s="7">
        <v>1.08</v>
      </c>
      <c r="O443" s="2">
        <v>1</v>
      </c>
      <c r="P443" s="7">
        <v>1.08</v>
      </c>
      <c r="Q443" s="7">
        <v>0</v>
      </c>
      <c r="R443" s="7">
        <v>0.17</v>
      </c>
      <c r="S443" s="7">
        <v>0.26</v>
      </c>
      <c r="T443" s="7">
        <v>1.25</v>
      </c>
      <c r="U443">
        <v>6</v>
      </c>
      <c r="V443">
        <v>6</v>
      </c>
    </row>
    <row r="444" spans="1:22">
      <c r="A444">
        <v>440</v>
      </c>
      <c r="B444" s="4">
        <v>46296.703275462962</v>
      </c>
      <c r="C444" s="5">
        <v>46296</v>
      </c>
      <c r="D444" s="6">
        <v>2.7032754629629632</v>
      </c>
      <c r="E444" s="5">
        <v>46296</v>
      </c>
      <c r="F444" t="s">
        <v>24</v>
      </c>
      <c r="G444" t="s">
        <v>25</v>
      </c>
      <c r="H444" t="s">
        <v>26</v>
      </c>
      <c r="I444" t="s">
        <v>27</v>
      </c>
      <c r="J444" t="s">
        <v>27</v>
      </c>
      <c r="K444" t="s">
        <v>419</v>
      </c>
      <c r="L444" s="2" t="s">
        <v>76</v>
      </c>
      <c r="M444" s="8" t="s">
        <v>77</v>
      </c>
      <c r="N444" s="7">
        <v>0.65</v>
      </c>
      <c r="O444" s="2">
        <v>1</v>
      </c>
      <c r="P444" s="7">
        <v>0.65</v>
      </c>
      <c r="Q444" s="7">
        <v>0</v>
      </c>
      <c r="R444" s="7">
        <v>0.1</v>
      </c>
      <c r="S444" s="7">
        <v>0.63</v>
      </c>
      <c r="T444" s="7">
        <v>0.75</v>
      </c>
      <c r="U444">
        <v>6</v>
      </c>
      <c r="V444">
        <v>6</v>
      </c>
    </row>
    <row r="445" spans="1:22">
      <c r="A445">
        <v>441</v>
      </c>
      <c r="B445" s="4">
        <v>46296.713194444441</v>
      </c>
      <c r="C445" s="5">
        <v>46296</v>
      </c>
      <c r="D445" s="6">
        <v>2.7131944444444445</v>
      </c>
      <c r="E445" s="5">
        <v>46296</v>
      </c>
      <c r="F445" t="s">
        <v>24</v>
      </c>
      <c r="G445" t="s">
        <v>25</v>
      </c>
      <c r="H445" t="s">
        <v>26</v>
      </c>
      <c r="I445" t="s">
        <v>27</v>
      </c>
      <c r="J445" t="s">
        <v>27</v>
      </c>
      <c r="K445" t="s">
        <v>420</v>
      </c>
      <c r="L445" s="3" t="s">
        <v>231</v>
      </c>
      <c r="M445" s="8" t="s">
        <v>232</v>
      </c>
      <c r="N445" s="7">
        <v>0.55000000000000004</v>
      </c>
      <c r="O445" s="2">
        <v>2</v>
      </c>
      <c r="P445" s="7">
        <v>1.1000000000000001</v>
      </c>
      <c r="Q445" s="7">
        <v>0</v>
      </c>
      <c r="R445" s="7">
        <v>0.17</v>
      </c>
      <c r="S445" s="7">
        <v>1.08</v>
      </c>
      <c r="T445" s="7">
        <v>1.27</v>
      </c>
      <c r="U445">
        <v>6</v>
      </c>
      <c r="V445">
        <v>6</v>
      </c>
    </row>
    <row r="446" spans="1:22">
      <c r="A446">
        <v>442</v>
      </c>
      <c r="B446" s="4">
        <v>46296.72488425926</v>
      </c>
      <c r="C446" s="5">
        <v>46296</v>
      </c>
      <c r="D446" s="6">
        <v>2.7248842592592593</v>
      </c>
      <c r="E446" s="5">
        <v>46296</v>
      </c>
      <c r="F446" t="s">
        <v>24</v>
      </c>
      <c r="G446" t="s">
        <v>25</v>
      </c>
      <c r="H446" t="s">
        <v>26</v>
      </c>
      <c r="I446" t="s">
        <v>27</v>
      </c>
      <c r="J446" t="s">
        <v>27</v>
      </c>
      <c r="K446" t="s">
        <v>421</v>
      </c>
      <c r="L446" s="2" t="s">
        <v>422</v>
      </c>
      <c r="M446" s="8" t="s">
        <v>423</v>
      </c>
      <c r="N446" s="7">
        <v>0.65</v>
      </c>
      <c r="O446" s="2">
        <v>1</v>
      </c>
      <c r="P446" s="7">
        <v>0.65</v>
      </c>
      <c r="Q446" s="7">
        <v>0</v>
      </c>
      <c r="R446" s="7">
        <v>0.1</v>
      </c>
      <c r="S446" s="7">
        <v>0.61</v>
      </c>
      <c r="T446" s="7">
        <v>0.75</v>
      </c>
      <c r="U446">
        <v>6</v>
      </c>
      <c r="V446">
        <v>6</v>
      </c>
    </row>
    <row r="447" spans="1:22">
      <c r="A447">
        <v>443</v>
      </c>
      <c r="B447" s="4">
        <v>46296.725659722222</v>
      </c>
      <c r="C447" s="5">
        <v>46296</v>
      </c>
      <c r="D447" s="6">
        <v>2.725648148148148</v>
      </c>
      <c r="E447" s="5">
        <v>46296</v>
      </c>
      <c r="F447" t="s">
        <v>24</v>
      </c>
      <c r="G447" t="s">
        <v>25</v>
      </c>
      <c r="H447" t="s">
        <v>26</v>
      </c>
      <c r="I447" t="s">
        <v>27</v>
      </c>
      <c r="J447" t="s">
        <v>27</v>
      </c>
      <c r="K447" t="s">
        <v>424</v>
      </c>
      <c r="L447" s="2" t="s">
        <v>92</v>
      </c>
      <c r="M447" s="8" t="s">
        <v>93</v>
      </c>
      <c r="N447" s="7">
        <v>0.65</v>
      </c>
      <c r="O447" s="2">
        <v>1</v>
      </c>
      <c r="P447" s="7">
        <v>0.65</v>
      </c>
      <c r="Q447" s="7">
        <v>0</v>
      </c>
      <c r="R447" s="7">
        <v>0.1</v>
      </c>
      <c r="S447" s="7">
        <v>0.63</v>
      </c>
      <c r="T447" s="7">
        <v>0.75</v>
      </c>
      <c r="U447">
        <v>6</v>
      </c>
      <c r="V447">
        <v>6</v>
      </c>
    </row>
    <row r="448" spans="1:22">
      <c r="A448">
        <v>444</v>
      </c>
      <c r="B448" s="4">
        <v>46296.745879629627</v>
      </c>
      <c r="C448" s="5">
        <v>46296</v>
      </c>
      <c r="D448" s="6">
        <v>2.7458796296296297</v>
      </c>
      <c r="E448" s="5">
        <v>46296</v>
      </c>
      <c r="F448" t="s">
        <v>24</v>
      </c>
      <c r="G448" t="s">
        <v>25</v>
      </c>
      <c r="H448" t="s">
        <v>26</v>
      </c>
      <c r="I448" t="s">
        <v>27</v>
      </c>
      <c r="J448" t="s">
        <v>27</v>
      </c>
      <c r="K448" t="s">
        <v>425</v>
      </c>
      <c r="L448" s="2" t="s">
        <v>250</v>
      </c>
      <c r="M448" s="8" t="s">
        <v>251</v>
      </c>
      <c r="N448" s="7">
        <v>1.35</v>
      </c>
      <c r="O448" s="2">
        <v>1</v>
      </c>
      <c r="P448" s="7">
        <v>1.35</v>
      </c>
      <c r="Q448" s="7">
        <v>0</v>
      </c>
      <c r="R448" s="7">
        <v>0.21</v>
      </c>
      <c r="S448" s="7">
        <v>1.3</v>
      </c>
      <c r="T448" s="7">
        <v>1.56</v>
      </c>
      <c r="U448">
        <v>6</v>
      </c>
      <c r="V448">
        <v>6</v>
      </c>
    </row>
    <row r="449" spans="1:22">
      <c r="A449">
        <v>445</v>
      </c>
      <c r="B449" s="4">
        <v>46296.752800925926</v>
      </c>
      <c r="C449" s="5">
        <v>46296</v>
      </c>
      <c r="D449" s="6">
        <v>2.7528009259259258</v>
      </c>
      <c r="E449" s="5">
        <v>46296</v>
      </c>
      <c r="F449" t="s">
        <v>24</v>
      </c>
      <c r="G449" t="s">
        <v>25</v>
      </c>
      <c r="H449" t="s">
        <v>26</v>
      </c>
      <c r="I449" t="s">
        <v>27</v>
      </c>
      <c r="J449" t="s">
        <v>27</v>
      </c>
      <c r="K449" t="s">
        <v>426</v>
      </c>
      <c r="L449" s="2" t="s">
        <v>96</v>
      </c>
      <c r="M449" s="8" t="s">
        <v>97</v>
      </c>
      <c r="N449" s="7">
        <v>1.63</v>
      </c>
      <c r="O449" s="2">
        <v>1</v>
      </c>
      <c r="P449" s="7">
        <v>1.63</v>
      </c>
      <c r="Q449" s="7">
        <v>0</v>
      </c>
      <c r="R449" s="7">
        <v>0.25</v>
      </c>
      <c r="S449" s="7">
        <v>1.56</v>
      </c>
      <c r="T449" s="7">
        <v>1.88</v>
      </c>
      <c r="U449">
        <v>6</v>
      </c>
      <c r="V449">
        <v>6</v>
      </c>
    </row>
    <row r="450" spans="1:22">
      <c r="A450">
        <v>446</v>
      </c>
      <c r="B450" s="4">
        <v>46296.755844907406</v>
      </c>
      <c r="C450" s="5">
        <v>46296</v>
      </c>
      <c r="D450" s="6">
        <v>2.7558449074074076</v>
      </c>
      <c r="E450" s="5">
        <v>46296</v>
      </c>
      <c r="F450" t="s">
        <v>24</v>
      </c>
      <c r="G450" t="s">
        <v>25</v>
      </c>
      <c r="H450" t="s">
        <v>26</v>
      </c>
      <c r="I450" t="s">
        <v>27</v>
      </c>
      <c r="J450" t="s">
        <v>27</v>
      </c>
      <c r="K450" t="s">
        <v>427</v>
      </c>
      <c r="L450" s="2" t="s">
        <v>68</v>
      </c>
      <c r="M450" s="8" t="s">
        <v>69</v>
      </c>
      <c r="N450" s="7">
        <v>1.63</v>
      </c>
      <c r="O450" s="2">
        <v>1</v>
      </c>
      <c r="P450" s="7">
        <v>1.63</v>
      </c>
      <c r="Q450" s="7">
        <v>0</v>
      </c>
      <c r="R450" s="7">
        <v>0.25</v>
      </c>
      <c r="S450" s="7">
        <v>0.17</v>
      </c>
      <c r="T450" s="7">
        <v>1.88</v>
      </c>
      <c r="U450">
        <v>6</v>
      </c>
      <c r="V450">
        <v>6</v>
      </c>
    </row>
    <row r="451" spans="1:22">
      <c r="A451">
        <v>447</v>
      </c>
      <c r="B451" s="4">
        <v>46296.755844907406</v>
      </c>
      <c r="C451" s="5">
        <v>46296</v>
      </c>
      <c r="D451" s="6">
        <v>2.756064814814815</v>
      </c>
      <c r="E451" s="5">
        <v>46296</v>
      </c>
      <c r="F451" t="s">
        <v>24</v>
      </c>
      <c r="G451" t="s">
        <v>25</v>
      </c>
      <c r="H451" t="s">
        <v>26</v>
      </c>
      <c r="I451" t="s">
        <v>27</v>
      </c>
      <c r="J451" t="s">
        <v>27</v>
      </c>
      <c r="K451" t="s">
        <v>427</v>
      </c>
      <c r="L451" s="2" t="s">
        <v>143</v>
      </c>
      <c r="M451" s="8" t="s">
        <v>144</v>
      </c>
      <c r="N451" s="7">
        <v>1.25</v>
      </c>
      <c r="O451" s="2">
        <v>1</v>
      </c>
      <c r="P451" s="7">
        <v>1.25</v>
      </c>
      <c r="Q451" s="7">
        <v>0</v>
      </c>
      <c r="R451" s="7">
        <v>0</v>
      </c>
      <c r="S451" s="7">
        <v>1.21</v>
      </c>
      <c r="T451" s="7">
        <v>1.25</v>
      </c>
      <c r="U451">
        <v>6</v>
      </c>
      <c r="V451">
        <v>6</v>
      </c>
    </row>
    <row r="452" spans="1:22">
      <c r="A452">
        <v>448</v>
      </c>
      <c r="B452" s="4">
        <v>46296.7653125</v>
      </c>
      <c r="C452" s="5">
        <v>46296</v>
      </c>
      <c r="D452" s="6">
        <v>2.765300925925926</v>
      </c>
      <c r="E452" s="5">
        <v>46296</v>
      </c>
      <c r="F452" t="s">
        <v>24</v>
      </c>
      <c r="G452" t="s">
        <v>25</v>
      </c>
      <c r="H452" t="s">
        <v>26</v>
      </c>
      <c r="I452" t="s">
        <v>27</v>
      </c>
      <c r="J452" t="s">
        <v>27</v>
      </c>
      <c r="K452" t="s">
        <v>428</v>
      </c>
      <c r="L452" s="2" t="s">
        <v>429</v>
      </c>
      <c r="M452" s="8" t="s">
        <v>430</v>
      </c>
      <c r="N452" s="7">
        <v>2.16</v>
      </c>
      <c r="O452" s="2">
        <v>1</v>
      </c>
      <c r="P452" s="7">
        <v>2.16</v>
      </c>
      <c r="Q452" s="7">
        <v>0</v>
      </c>
      <c r="R452" s="7">
        <v>0.34</v>
      </c>
      <c r="S452" s="7">
        <v>2.09</v>
      </c>
      <c r="T452" s="7">
        <v>2.5</v>
      </c>
      <c r="U452">
        <v>6</v>
      </c>
      <c r="V452">
        <v>6</v>
      </c>
    </row>
    <row r="453" spans="1:22">
      <c r="A453">
        <v>449</v>
      </c>
      <c r="B453" s="4">
        <v>46296.7653125</v>
      </c>
      <c r="C453" s="5">
        <v>46296</v>
      </c>
      <c r="D453" s="6">
        <v>2.7653703703703703</v>
      </c>
      <c r="E453" s="5">
        <v>46296</v>
      </c>
      <c r="F453" t="s">
        <v>24</v>
      </c>
      <c r="G453" t="s">
        <v>25</v>
      </c>
      <c r="H453" t="s">
        <v>26</v>
      </c>
      <c r="I453" t="s">
        <v>27</v>
      </c>
      <c r="J453" t="s">
        <v>27</v>
      </c>
      <c r="K453" t="s">
        <v>428</v>
      </c>
      <c r="L453" s="2" t="s">
        <v>109</v>
      </c>
      <c r="M453" s="8" t="s">
        <v>110</v>
      </c>
      <c r="N453" s="7">
        <v>1.08</v>
      </c>
      <c r="O453" s="2">
        <v>2</v>
      </c>
      <c r="P453" s="7">
        <v>2.16</v>
      </c>
      <c r="Q453" s="7">
        <v>0</v>
      </c>
      <c r="R453" s="7">
        <v>0.34</v>
      </c>
      <c r="S453" s="7">
        <v>0.51</v>
      </c>
      <c r="T453" s="7">
        <v>2.5</v>
      </c>
      <c r="U453">
        <v>6</v>
      </c>
      <c r="V453">
        <v>6</v>
      </c>
    </row>
    <row r="454" spans="1:22">
      <c r="A454">
        <v>450</v>
      </c>
      <c r="B454" s="4">
        <v>46296.7653125</v>
      </c>
      <c r="C454" s="5">
        <v>46296</v>
      </c>
      <c r="D454" s="6">
        <v>2.7692592592592593</v>
      </c>
      <c r="E454" s="5">
        <v>46296</v>
      </c>
      <c r="F454" t="s">
        <v>24</v>
      </c>
      <c r="G454" t="s">
        <v>25</v>
      </c>
      <c r="H454" t="s">
        <v>26</v>
      </c>
      <c r="I454" t="s">
        <v>27</v>
      </c>
      <c r="J454" t="s">
        <v>27</v>
      </c>
      <c r="K454" t="s">
        <v>428</v>
      </c>
      <c r="L454" s="2" t="s">
        <v>98</v>
      </c>
      <c r="M454" s="8" t="s">
        <v>99</v>
      </c>
      <c r="N454" s="7">
        <v>0.81</v>
      </c>
      <c r="O454" s="2">
        <v>1</v>
      </c>
      <c r="P454" s="7">
        <v>0.81</v>
      </c>
      <c r="Q454" s="7">
        <v>0</v>
      </c>
      <c r="R454" s="7">
        <v>0.13</v>
      </c>
      <c r="S454" s="7">
        <v>0.79</v>
      </c>
      <c r="T454" s="7">
        <v>0.94</v>
      </c>
      <c r="U454">
        <v>6</v>
      </c>
      <c r="V454">
        <v>6</v>
      </c>
    </row>
    <row r="455" spans="1:22">
      <c r="A455">
        <v>451</v>
      </c>
      <c r="B455" s="4">
        <v>46296.771793981483</v>
      </c>
      <c r="C455" s="5">
        <v>46296</v>
      </c>
      <c r="D455" s="6">
        <v>2.7717939814814816</v>
      </c>
      <c r="E455" s="5">
        <v>46296</v>
      </c>
      <c r="F455" t="s">
        <v>24</v>
      </c>
      <c r="G455" t="s">
        <v>25</v>
      </c>
      <c r="H455" t="s">
        <v>26</v>
      </c>
      <c r="I455" t="s">
        <v>27</v>
      </c>
      <c r="J455" t="s">
        <v>27</v>
      </c>
      <c r="K455" t="s">
        <v>431</v>
      </c>
      <c r="L455" s="2" t="s">
        <v>388</v>
      </c>
      <c r="M455" s="8" t="s">
        <v>389</v>
      </c>
      <c r="N455" s="7">
        <v>1.9</v>
      </c>
      <c r="O455" s="2">
        <v>1</v>
      </c>
      <c r="P455" s="7">
        <v>1.9</v>
      </c>
      <c r="Q455" s="7">
        <v>0</v>
      </c>
      <c r="R455" s="7">
        <v>0.28999999999999998</v>
      </c>
      <c r="S455" s="7">
        <v>1.83</v>
      </c>
      <c r="T455" s="7">
        <v>2.19</v>
      </c>
      <c r="U455">
        <v>6</v>
      </c>
      <c r="V455">
        <v>6</v>
      </c>
    </row>
    <row r="456" spans="1:22">
      <c r="A456">
        <v>452</v>
      </c>
      <c r="B456" s="4">
        <v>46296.77815972222</v>
      </c>
      <c r="C456" s="5">
        <v>46296</v>
      </c>
      <c r="D456" s="6">
        <v>2.7781597222222221</v>
      </c>
      <c r="E456" s="5">
        <v>46296</v>
      </c>
      <c r="F456" t="s">
        <v>24</v>
      </c>
      <c r="G456" t="s">
        <v>25</v>
      </c>
      <c r="H456" t="s">
        <v>26</v>
      </c>
      <c r="I456" t="s">
        <v>27</v>
      </c>
      <c r="J456" t="s">
        <v>27</v>
      </c>
      <c r="K456" t="s">
        <v>432</v>
      </c>
      <c r="L456" s="2" t="s">
        <v>229</v>
      </c>
      <c r="M456" s="8" t="s">
        <v>230</v>
      </c>
      <c r="N456" s="7">
        <v>0.81</v>
      </c>
      <c r="O456" s="2">
        <v>1</v>
      </c>
      <c r="P456" s="7">
        <v>0.81</v>
      </c>
      <c r="Q456" s="7">
        <v>0</v>
      </c>
      <c r="R456" s="7">
        <v>0.13</v>
      </c>
      <c r="S456" s="7">
        <v>0.79</v>
      </c>
      <c r="T456" s="7">
        <v>0.94</v>
      </c>
      <c r="U456">
        <v>6</v>
      </c>
      <c r="V456">
        <v>6</v>
      </c>
    </row>
    <row r="457" spans="1:22">
      <c r="A457">
        <v>453</v>
      </c>
      <c r="B457" s="4">
        <v>46296.77815972222</v>
      </c>
      <c r="C457" s="5">
        <v>46296</v>
      </c>
      <c r="D457" s="6">
        <v>2.7803240740740742</v>
      </c>
      <c r="E457" s="5">
        <v>46296</v>
      </c>
      <c r="F457" t="s">
        <v>24</v>
      </c>
      <c r="G457" t="s">
        <v>25</v>
      </c>
      <c r="H457" t="s">
        <v>26</v>
      </c>
      <c r="I457" t="s">
        <v>27</v>
      </c>
      <c r="J457" t="s">
        <v>27</v>
      </c>
      <c r="K457" t="s">
        <v>432</v>
      </c>
      <c r="L457" s="2" t="s">
        <v>344</v>
      </c>
      <c r="M457" s="8" t="s">
        <v>345</v>
      </c>
      <c r="N457" s="7">
        <v>0.38</v>
      </c>
      <c r="O457" s="2">
        <v>1</v>
      </c>
      <c r="P457" s="7">
        <v>0.38</v>
      </c>
      <c r="Q457" s="7">
        <v>0</v>
      </c>
      <c r="R457" s="7">
        <v>0.06</v>
      </c>
      <c r="S457" s="7">
        <v>0.37</v>
      </c>
      <c r="T457" s="7">
        <v>0.44</v>
      </c>
      <c r="U457">
        <v>6</v>
      </c>
      <c r="V457">
        <v>6</v>
      </c>
    </row>
    <row r="458" spans="1:22">
      <c r="A458">
        <v>454</v>
      </c>
      <c r="B458" s="4">
        <v>46296.805810185186</v>
      </c>
      <c r="C458" s="5">
        <v>46296</v>
      </c>
      <c r="D458" s="6">
        <v>2.8057986111111113</v>
      </c>
      <c r="E458" s="5">
        <v>46296</v>
      </c>
      <c r="F458" t="s">
        <v>164</v>
      </c>
      <c r="G458" t="s">
        <v>165</v>
      </c>
      <c r="H458" t="s">
        <v>26</v>
      </c>
      <c r="I458" t="s">
        <v>27</v>
      </c>
      <c r="J458" t="s">
        <v>27</v>
      </c>
      <c r="K458" t="s">
        <v>433</v>
      </c>
      <c r="L458" s="2" t="s">
        <v>311</v>
      </c>
      <c r="M458" s="8" t="s">
        <v>312</v>
      </c>
      <c r="N458" s="7">
        <v>0.55000000000000004</v>
      </c>
      <c r="O458" s="2">
        <v>3</v>
      </c>
      <c r="P458" s="7">
        <v>1.65</v>
      </c>
      <c r="Q458" s="7">
        <v>0</v>
      </c>
      <c r="R458" s="7">
        <v>0.25</v>
      </c>
      <c r="S458" s="7">
        <v>0.82</v>
      </c>
      <c r="T458" s="7">
        <v>1.9</v>
      </c>
      <c r="U458">
        <v>6</v>
      </c>
      <c r="V458">
        <v>6</v>
      </c>
    </row>
    <row r="459" spans="1:22">
      <c r="A459">
        <v>455</v>
      </c>
      <c r="B459" s="4">
        <v>46296.805810185186</v>
      </c>
      <c r="C459" s="5">
        <v>46296</v>
      </c>
      <c r="D459" s="6">
        <v>2.806111111111111</v>
      </c>
      <c r="E459" s="5">
        <v>46296</v>
      </c>
      <c r="F459" t="s">
        <v>164</v>
      </c>
      <c r="G459" t="s">
        <v>165</v>
      </c>
      <c r="H459" t="s">
        <v>26</v>
      </c>
      <c r="I459" t="s">
        <v>27</v>
      </c>
      <c r="J459" t="s">
        <v>27</v>
      </c>
      <c r="K459" t="s">
        <v>433</v>
      </c>
      <c r="L459" s="2" t="s">
        <v>92</v>
      </c>
      <c r="M459" s="8" t="s">
        <v>93</v>
      </c>
      <c r="N459" s="7">
        <v>0.65</v>
      </c>
      <c r="O459" s="2">
        <v>3</v>
      </c>
      <c r="P459" s="7">
        <v>1.95</v>
      </c>
      <c r="Q459" s="7">
        <v>0</v>
      </c>
      <c r="R459" s="7">
        <v>0.3</v>
      </c>
      <c r="S459" s="7">
        <v>1.89</v>
      </c>
      <c r="T459" s="7">
        <v>2.25</v>
      </c>
      <c r="U459">
        <v>6</v>
      </c>
      <c r="V459">
        <v>6</v>
      </c>
    </row>
    <row r="460" spans="1:22">
      <c r="A460">
        <v>456</v>
      </c>
      <c r="B460" s="4">
        <v>46296.805810185186</v>
      </c>
      <c r="C460" s="5">
        <v>46296</v>
      </c>
      <c r="D460" s="6">
        <v>2.8062384259259261</v>
      </c>
      <c r="E460" s="5">
        <v>46296</v>
      </c>
      <c r="F460" t="s">
        <v>164</v>
      </c>
      <c r="G460" t="s">
        <v>165</v>
      </c>
      <c r="H460" t="s">
        <v>26</v>
      </c>
      <c r="I460" t="s">
        <v>27</v>
      </c>
      <c r="J460" t="s">
        <v>27</v>
      </c>
      <c r="K460" t="s">
        <v>433</v>
      </c>
      <c r="L460" s="2" t="s">
        <v>76</v>
      </c>
      <c r="M460" s="8" t="s">
        <v>77</v>
      </c>
      <c r="N460" s="7">
        <v>0.65</v>
      </c>
      <c r="O460" s="2">
        <v>2</v>
      </c>
      <c r="P460" s="7">
        <v>1.3</v>
      </c>
      <c r="Q460" s="7">
        <v>0</v>
      </c>
      <c r="R460" s="7">
        <v>0.2</v>
      </c>
      <c r="S460" s="7">
        <v>1.26</v>
      </c>
      <c r="T460" s="7">
        <v>1.5</v>
      </c>
      <c r="U460">
        <v>6</v>
      </c>
      <c r="V460">
        <v>6</v>
      </c>
    </row>
    <row r="461" spans="1:22">
      <c r="A461">
        <v>457</v>
      </c>
      <c r="B461" s="4">
        <v>46296.805810185186</v>
      </c>
      <c r="C461" s="5">
        <v>46296</v>
      </c>
      <c r="D461" s="6">
        <v>2.8064814814814816</v>
      </c>
      <c r="E461" s="5">
        <v>46296</v>
      </c>
      <c r="F461" t="s">
        <v>164</v>
      </c>
      <c r="G461" t="s">
        <v>165</v>
      </c>
      <c r="H461" t="s">
        <v>26</v>
      </c>
      <c r="I461" t="s">
        <v>27</v>
      </c>
      <c r="J461" t="s">
        <v>27</v>
      </c>
      <c r="K461" t="s">
        <v>433</v>
      </c>
      <c r="L461" s="2" t="s">
        <v>224</v>
      </c>
      <c r="M461" s="8" t="s">
        <v>225</v>
      </c>
      <c r="N461" s="7">
        <v>0.81</v>
      </c>
      <c r="O461" s="2">
        <v>1</v>
      </c>
      <c r="P461" s="7">
        <v>0.81</v>
      </c>
      <c r="Q461" s="7">
        <v>0</v>
      </c>
      <c r="R461" s="7">
        <v>0.13</v>
      </c>
      <c r="S461" s="7">
        <v>0.79</v>
      </c>
      <c r="T461" s="7">
        <v>0.94</v>
      </c>
      <c r="U461">
        <v>6</v>
      </c>
      <c r="V461">
        <v>6</v>
      </c>
    </row>
    <row r="462" spans="1:22">
      <c r="A462">
        <v>458</v>
      </c>
      <c r="B462" s="4">
        <v>46296.805810185186</v>
      </c>
      <c r="C462" s="5">
        <v>46296</v>
      </c>
      <c r="D462" s="6">
        <v>2.8065625000000001</v>
      </c>
      <c r="E462" s="5">
        <v>46296</v>
      </c>
      <c r="F462" t="s">
        <v>164</v>
      </c>
      <c r="G462" t="s">
        <v>165</v>
      </c>
      <c r="H462" t="s">
        <v>26</v>
      </c>
      <c r="I462" t="s">
        <v>27</v>
      </c>
      <c r="J462" t="s">
        <v>27</v>
      </c>
      <c r="K462" t="s">
        <v>433</v>
      </c>
      <c r="L462" s="2" t="s">
        <v>63</v>
      </c>
      <c r="M462" s="8" t="s">
        <v>64</v>
      </c>
      <c r="N462" s="7">
        <v>1.9</v>
      </c>
      <c r="O462" s="2">
        <v>1</v>
      </c>
      <c r="P462" s="7">
        <v>1.9</v>
      </c>
      <c r="Q462" s="7">
        <v>0</v>
      </c>
      <c r="R462" s="7">
        <v>0.28999999999999998</v>
      </c>
      <c r="S462" s="7">
        <v>1.83</v>
      </c>
      <c r="T462" s="7">
        <v>2.19</v>
      </c>
      <c r="U462">
        <v>6</v>
      </c>
      <c r="V462">
        <v>6</v>
      </c>
    </row>
    <row r="463" spans="1:22">
      <c r="A463">
        <v>459</v>
      </c>
      <c r="B463" s="4">
        <v>46296.805810185186</v>
      </c>
      <c r="C463" s="5">
        <v>46296</v>
      </c>
      <c r="D463" s="6">
        <v>2.8066550925925924</v>
      </c>
      <c r="E463" s="5">
        <v>46296</v>
      </c>
      <c r="F463" t="s">
        <v>164</v>
      </c>
      <c r="G463" t="s">
        <v>165</v>
      </c>
      <c r="H463" t="s">
        <v>26</v>
      </c>
      <c r="I463" t="s">
        <v>27</v>
      </c>
      <c r="J463" t="s">
        <v>27</v>
      </c>
      <c r="K463" t="s">
        <v>433</v>
      </c>
      <c r="L463" s="2" t="s">
        <v>236</v>
      </c>
      <c r="M463" s="8" t="s">
        <v>237</v>
      </c>
      <c r="N463" s="7">
        <v>5.14</v>
      </c>
      <c r="O463" s="2">
        <v>1</v>
      </c>
      <c r="P463" s="7">
        <v>5.14</v>
      </c>
      <c r="Q463" s="7">
        <v>0</v>
      </c>
      <c r="R463" s="7">
        <v>0.8</v>
      </c>
      <c r="S463" s="7">
        <v>1.18</v>
      </c>
      <c r="T463" s="7">
        <v>5.94</v>
      </c>
      <c r="U463">
        <v>6</v>
      </c>
      <c r="V463">
        <v>6</v>
      </c>
    </row>
    <row r="464" spans="1:22">
      <c r="A464">
        <v>460</v>
      </c>
      <c r="B464" s="4">
        <v>46296.805810185186</v>
      </c>
      <c r="C464" s="5">
        <v>46296</v>
      </c>
      <c r="D464" s="6">
        <v>2.8067824074074075</v>
      </c>
      <c r="E464" s="5">
        <v>46296</v>
      </c>
      <c r="F464" t="s">
        <v>164</v>
      </c>
      <c r="G464" t="s">
        <v>165</v>
      </c>
      <c r="H464" t="s">
        <v>26</v>
      </c>
      <c r="I464" t="s">
        <v>27</v>
      </c>
      <c r="J464" t="s">
        <v>27</v>
      </c>
      <c r="K464" t="s">
        <v>433</v>
      </c>
      <c r="L464" s="2" t="s">
        <v>143</v>
      </c>
      <c r="M464" s="8" t="s">
        <v>144</v>
      </c>
      <c r="N464" s="7">
        <v>1.25</v>
      </c>
      <c r="O464" s="2">
        <v>1</v>
      </c>
      <c r="P464" s="7">
        <v>1.25</v>
      </c>
      <c r="Q464" s="7">
        <v>0</v>
      </c>
      <c r="R464" s="7">
        <v>0</v>
      </c>
      <c r="S464" s="7">
        <v>1.21</v>
      </c>
      <c r="T464" s="7">
        <v>1.25</v>
      </c>
      <c r="U464">
        <v>6</v>
      </c>
      <c r="V464">
        <v>6</v>
      </c>
    </row>
    <row r="465" spans="1:22">
      <c r="A465">
        <v>461</v>
      </c>
      <c r="B465" s="4">
        <v>46296.805810185186</v>
      </c>
      <c r="C465" s="5">
        <v>46296</v>
      </c>
      <c r="D465" s="6">
        <v>2.806863425925926</v>
      </c>
      <c r="E465" s="5">
        <v>46296</v>
      </c>
      <c r="F465" t="s">
        <v>164</v>
      </c>
      <c r="G465" t="s">
        <v>165</v>
      </c>
      <c r="H465" t="s">
        <v>26</v>
      </c>
      <c r="I465" t="s">
        <v>27</v>
      </c>
      <c r="J465" t="s">
        <v>27</v>
      </c>
      <c r="K465" t="s">
        <v>433</v>
      </c>
      <c r="L465" s="2" t="s">
        <v>88</v>
      </c>
      <c r="M465" s="8" t="s">
        <v>89</v>
      </c>
      <c r="N465" s="7">
        <v>0.81</v>
      </c>
      <c r="O465" s="2">
        <v>1</v>
      </c>
      <c r="P465" s="7">
        <v>0.81</v>
      </c>
      <c r="Q465" s="7">
        <v>0</v>
      </c>
      <c r="R465" s="7">
        <v>0.13</v>
      </c>
      <c r="S465" s="7">
        <v>0.79</v>
      </c>
      <c r="T465" s="7">
        <v>0.94</v>
      </c>
      <c r="U465">
        <v>6</v>
      </c>
      <c r="V465">
        <v>6</v>
      </c>
    </row>
    <row r="466" spans="1:22">
      <c r="A466">
        <v>462</v>
      </c>
      <c r="B466" s="4">
        <v>46296.805810185186</v>
      </c>
      <c r="C466" s="5">
        <v>46296</v>
      </c>
      <c r="D466" s="6">
        <v>2.8069560185185187</v>
      </c>
      <c r="E466" s="5">
        <v>46296</v>
      </c>
      <c r="F466" t="s">
        <v>164</v>
      </c>
      <c r="G466" t="s">
        <v>165</v>
      </c>
      <c r="H466" t="s">
        <v>26</v>
      </c>
      <c r="I466" t="s">
        <v>27</v>
      </c>
      <c r="J466" t="s">
        <v>27</v>
      </c>
      <c r="K466" t="s">
        <v>433</v>
      </c>
      <c r="L466" s="2" t="s">
        <v>59</v>
      </c>
      <c r="M466" s="8" t="s">
        <v>60</v>
      </c>
      <c r="N466" s="7">
        <v>0.31</v>
      </c>
      <c r="O466" s="2">
        <v>3</v>
      </c>
      <c r="P466" s="7">
        <v>0.93</v>
      </c>
      <c r="Q466" s="7">
        <v>0</v>
      </c>
      <c r="R466" s="7">
        <v>0</v>
      </c>
      <c r="S466" s="7">
        <v>0.9</v>
      </c>
      <c r="T466" s="7">
        <v>0.93</v>
      </c>
      <c r="U466">
        <v>6</v>
      </c>
      <c r="V466">
        <v>6</v>
      </c>
    </row>
    <row r="467" spans="1:22">
      <c r="A467">
        <v>463</v>
      </c>
      <c r="B467" s="4">
        <v>46296.805810185186</v>
      </c>
      <c r="C467" s="5">
        <v>46296</v>
      </c>
      <c r="D467" s="6">
        <v>2.8070601851851853</v>
      </c>
      <c r="E467" s="5">
        <v>46296</v>
      </c>
      <c r="F467" t="s">
        <v>164</v>
      </c>
      <c r="G467" t="s">
        <v>165</v>
      </c>
      <c r="H467" t="s">
        <v>26</v>
      </c>
      <c r="I467" t="s">
        <v>27</v>
      </c>
      <c r="J467" t="s">
        <v>27</v>
      </c>
      <c r="K467" t="s">
        <v>433</v>
      </c>
      <c r="L467" s="2" t="s">
        <v>143</v>
      </c>
      <c r="M467" s="8" t="s">
        <v>144</v>
      </c>
      <c r="N467" s="7">
        <v>1.25</v>
      </c>
      <c r="O467" s="2">
        <v>1</v>
      </c>
      <c r="P467" s="7">
        <v>1.25</v>
      </c>
      <c r="Q467" s="7">
        <v>0</v>
      </c>
      <c r="R467" s="7">
        <v>0</v>
      </c>
      <c r="S467" s="7">
        <v>1.21</v>
      </c>
      <c r="T467" s="7">
        <v>1.25</v>
      </c>
      <c r="U467">
        <v>6</v>
      </c>
      <c r="V467">
        <v>6</v>
      </c>
    </row>
    <row r="468" spans="1:22">
      <c r="A468">
        <v>464</v>
      </c>
      <c r="B468" s="4">
        <v>46296.805810185186</v>
      </c>
      <c r="C468" s="5">
        <v>46296</v>
      </c>
      <c r="D468" s="6">
        <v>2.8071759259259261</v>
      </c>
      <c r="E468" s="5">
        <v>46296</v>
      </c>
      <c r="F468" t="s">
        <v>164</v>
      </c>
      <c r="G468" t="s">
        <v>165</v>
      </c>
      <c r="H468" t="s">
        <v>26</v>
      </c>
      <c r="I468" t="s">
        <v>27</v>
      </c>
      <c r="J468" t="s">
        <v>27</v>
      </c>
      <c r="K468" t="s">
        <v>433</v>
      </c>
      <c r="L468" s="2" t="s">
        <v>124</v>
      </c>
      <c r="M468" s="8" t="s">
        <v>125</v>
      </c>
      <c r="N468" s="7">
        <v>1.08</v>
      </c>
      <c r="O468" s="2">
        <v>4</v>
      </c>
      <c r="P468" s="7">
        <v>4.32</v>
      </c>
      <c r="Q468" s="7">
        <v>0</v>
      </c>
      <c r="R468" s="7">
        <v>0.67</v>
      </c>
      <c r="S468" s="7">
        <v>4.2</v>
      </c>
      <c r="T468" s="7">
        <v>4.99</v>
      </c>
      <c r="U468">
        <v>6</v>
      </c>
      <c r="V468">
        <v>6</v>
      </c>
    </row>
    <row r="469" spans="1:22">
      <c r="A469">
        <v>465</v>
      </c>
      <c r="B469" s="4">
        <v>46296.805810185186</v>
      </c>
      <c r="C469" s="5">
        <v>46296</v>
      </c>
      <c r="D469" s="6">
        <v>2.8073032407407408</v>
      </c>
      <c r="E469" s="5">
        <v>46296</v>
      </c>
      <c r="F469" t="s">
        <v>164</v>
      </c>
      <c r="G469" t="s">
        <v>165</v>
      </c>
      <c r="H469" t="s">
        <v>26</v>
      </c>
      <c r="I469" t="s">
        <v>27</v>
      </c>
      <c r="J469" t="s">
        <v>27</v>
      </c>
      <c r="K469" t="s">
        <v>433</v>
      </c>
      <c r="L469" s="2" t="s">
        <v>140</v>
      </c>
      <c r="M469" s="8" t="s">
        <v>141</v>
      </c>
      <c r="N469" s="7">
        <v>0.55000000000000004</v>
      </c>
      <c r="O469" s="2">
        <v>1</v>
      </c>
      <c r="P469" s="7">
        <v>0.55000000000000004</v>
      </c>
      <c r="Q469" s="7">
        <v>0</v>
      </c>
      <c r="R469" s="7">
        <v>0.08</v>
      </c>
      <c r="S469" s="7">
        <v>0.53</v>
      </c>
      <c r="T469" s="7">
        <v>0.63</v>
      </c>
      <c r="U469">
        <v>6</v>
      </c>
      <c r="V469">
        <v>6</v>
      </c>
    </row>
    <row r="470" spans="1:22">
      <c r="A470">
        <v>466</v>
      </c>
      <c r="B470" s="4">
        <v>46296.818020833336</v>
      </c>
      <c r="C470" s="5">
        <v>46296</v>
      </c>
      <c r="D470" s="6">
        <v>2.8180208333333332</v>
      </c>
      <c r="E470" s="5">
        <v>46296</v>
      </c>
      <c r="F470" t="s">
        <v>164</v>
      </c>
      <c r="G470" t="s">
        <v>165</v>
      </c>
      <c r="H470" t="s">
        <v>26</v>
      </c>
      <c r="I470" t="s">
        <v>27</v>
      </c>
      <c r="J470" t="s">
        <v>27</v>
      </c>
      <c r="K470" t="s">
        <v>434</v>
      </c>
      <c r="L470" s="2" t="s">
        <v>205</v>
      </c>
      <c r="M470" s="8" t="s">
        <v>206</v>
      </c>
      <c r="N470" s="7">
        <v>0.55000000000000004</v>
      </c>
      <c r="O470" s="2">
        <v>1</v>
      </c>
      <c r="P470" s="7">
        <v>0.55000000000000004</v>
      </c>
      <c r="Q470" s="7">
        <v>0</v>
      </c>
      <c r="R470" s="7">
        <v>0.08</v>
      </c>
      <c r="S470" s="7">
        <v>0.54</v>
      </c>
      <c r="T470" s="7">
        <v>0.63</v>
      </c>
      <c r="U470">
        <v>6</v>
      </c>
      <c r="V470">
        <v>6</v>
      </c>
    </row>
    <row r="471" spans="1:22">
      <c r="A471">
        <v>467</v>
      </c>
      <c r="B471" s="4">
        <v>46296.8200462963</v>
      </c>
      <c r="C471" s="5">
        <v>46296</v>
      </c>
      <c r="D471" s="6">
        <v>2.8200347222222222</v>
      </c>
      <c r="E471" s="5">
        <v>46296</v>
      </c>
      <c r="F471" t="s">
        <v>164</v>
      </c>
      <c r="G471" t="s">
        <v>165</v>
      </c>
      <c r="H471" t="s">
        <v>26</v>
      </c>
      <c r="I471" t="s">
        <v>27</v>
      </c>
      <c r="J471" t="s">
        <v>27</v>
      </c>
      <c r="K471" t="s">
        <v>435</v>
      </c>
      <c r="L471" s="2" t="s">
        <v>143</v>
      </c>
      <c r="M471" s="8" t="s">
        <v>144</v>
      </c>
      <c r="N471" s="7">
        <v>1.25</v>
      </c>
      <c r="O471" s="2">
        <v>1</v>
      </c>
      <c r="P471" s="7">
        <v>1.25</v>
      </c>
      <c r="Q471" s="7">
        <v>0</v>
      </c>
      <c r="R471" s="7">
        <v>0</v>
      </c>
      <c r="S471" s="7">
        <v>1.21</v>
      </c>
      <c r="T471" s="7">
        <v>1.25</v>
      </c>
      <c r="U471">
        <v>6</v>
      </c>
      <c r="V471">
        <v>6</v>
      </c>
    </row>
    <row r="472" spans="1:22">
      <c r="A472">
        <v>468</v>
      </c>
      <c r="B472" s="4">
        <v>46296.820497685185</v>
      </c>
      <c r="C472" s="5">
        <v>46296</v>
      </c>
      <c r="D472" s="6">
        <v>2.8204861111111112</v>
      </c>
      <c r="E472" s="5">
        <v>46296</v>
      </c>
      <c r="F472" t="s">
        <v>164</v>
      </c>
      <c r="G472" t="s">
        <v>165</v>
      </c>
      <c r="H472" t="s">
        <v>26</v>
      </c>
      <c r="I472" t="s">
        <v>27</v>
      </c>
      <c r="J472" t="s">
        <v>27</v>
      </c>
      <c r="K472" t="s">
        <v>436</v>
      </c>
      <c r="L472" s="2" t="s">
        <v>337</v>
      </c>
      <c r="M472" s="8" t="s">
        <v>338</v>
      </c>
      <c r="N472" s="7">
        <v>0.81</v>
      </c>
      <c r="O472" s="2">
        <v>1</v>
      </c>
      <c r="P472" s="7">
        <v>0.81</v>
      </c>
      <c r="Q472" s="7">
        <v>0</v>
      </c>
      <c r="R472" s="7">
        <v>0.13</v>
      </c>
      <c r="S472" s="7">
        <v>0.54</v>
      </c>
      <c r="T472" s="7">
        <v>0.94</v>
      </c>
      <c r="U472">
        <v>6</v>
      </c>
      <c r="V472">
        <v>6</v>
      </c>
    </row>
    <row r="473" spans="1:22">
      <c r="A473">
        <v>469</v>
      </c>
      <c r="B473" s="4">
        <v>46296.820497685185</v>
      </c>
      <c r="C473" s="5">
        <v>46296</v>
      </c>
      <c r="D473" s="6">
        <v>2.8205439814814817</v>
      </c>
      <c r="E473" s="5">
        <v>46296</v>
      </c>
      <c r="F473" t="s">
        <v>164</v>
      </c>
      <c r="G473" t="s">
        <v>165</v>
      </c>
      <c r="H473" t="s">
        <v>26</v>
      </c>
      <c r="I473" t="s">
        <v>27</v>
      </c>
      <c r="J473" t="s">
        <v>27</v>
      </c>
      <c r="K473" t="s">
        <v>436</v>
      </c>
      <c r="L473" s="2" t="s">
        <v>224</v>
      </c>
      <c r="M473" s="8" t="s">
        <v>225</v>
      </c>
      <c r="N473" s="7">
        <v>0.81</v>
      </c>
      <c r="O473" s="2">
        <v>1</v>
      </c>
      <c r="P473" s="7">
        <v>0.81</v>
      </c>
      <c r="Q473" s="7">
        <v>0</v>
      </c>
      <c r="R473" s="7">
        <v>0.13</v>
      </c>
      <c r="S473" s="7">
        <v>0.79</v>
      </c>
      <c r="T473" s="7">
        <v>0.94</v>
      </c>
      <c r="U473">
        <v>6</v>
      </c>
      <c r="V473">
        <v>6</v>
      </c>
    </row>
    <row r="474" spans="1:22">
      <c r="A474">
        <v>470</v>
      </c>
      <c r="B474" s="4">
        <v>46296.820497685185</v>
      </c>
      <c r="C474" s="5">
        <v>46296</v>
      </c>
      <c r="D474" s="6">
        <v>2.8205787037037036</v>
      </c>
      <c r="E474" s="5">
        <v>46296</v>
      </c>
      <c r="F474" t="s">
        <v>164</v>
      </c>
      <c r="G474" t="s">
        <v>165</v>
      </c>
      <c r="H474" t="s">
        <v>26</v>
      </c>
      <c r="I474" t="s">
        <v>27</v>
      </c>
      <c r="J474" t="s">
        <v>27</v>
      </c>
      <c r="K474" t="s">
        <v>436</v>
      </c>
      <c r="L474" s="2" t="s">
        <v>437</v>
      </c>
      <c r="M474" s="8" t="s">
        <v>438</v>
      </c>
      <c r="N474" s="7">
        <v>1.08</v>
      </c>
      <c r="O474" s="2">
        <v>1</v>
      </c>
      <c r="P474" s="7">
        <v>1.08</v>
      </c>
      <c r="Q474" s="7">
        <v>0</v>
      </c>
      <c r="R474" s="7">
        <v>0.17</v>
      </c>
      <c r="S474" s="7">
        <v>0.26</v>
      </c>
      <c r="T474" s="7">
        <v>1.25</v>
      </c>
      <c r="U474">
        <v>6</v>
      </c>
      <c r="V474">
        <v>6</v>
      </c>
    </row>
    <row r="475" spans="1:22">
      <c r="A475">
        <v>471</v>
      </c>
      <c r="B475" s="4">
        <v>46296.820497685185</v>
      </c>
      <c r="C475" s="5">
        <v>46296</v>
      </c>
      <c r="D475" s="6">
        <v>2.8206134259259259</v>
      </c>
      <c r="E475" s="5">
        <v>46296</v>
      </c>
      <c r="F475" t="s">
        <v>164</v>
      </c>
      <c r="G475" t="s">
        <v>165</v>
      </c>
      <c r="H475" t="s">
        <v>26</v>
      </c>
      <c r="I475" t="s">
        <v>27</v>
      </c>
      <c r="J475" t="s">
        <v>27</v>
      </c>
      <c r="K475" t="s">
        <v>436</v>
      </c>
      <c r="L475" s="2" t="s">
        <v>56</v>
      </c>
      <c r="M475" s="8" t="s">
        <v>57</v>
      </c>
      <c r="N475" s="7">
        <v>0.27</v>
      </c>
      <c r="O475" s="2">
        <v>1</v>
      </c>
      <c r="P475" s="7">
        <v>0.27</v>
      </c>
      <c r="Q475" s="7">
        <v>0</v>
      </c>
      <c r="R475" s="7">
        <v>0.04</v>
      </c>
      <c r="S475" s="7">
        <v>0.19</v>
      </c>
      <c r="T475" s="7">
        <v>0.31</v>
      </c>
      <c r="U475">
        <v>6</v>
      </c>
      <c r="V475">
        <v>6</v>
      </c>
    </row>
    <row r="476" spans="1:22">
      <c r="A476">
        <v>472</v>
      </c>
      <c r="B476" s="4">
        <v>46296.820497685185</v>
      </c>
      <c r="C476" s="5">
        <v>46296</v>
      </c>
      <c r="D476" s="6">
        <v>2.820636574074074</v>
      </c>
      <c r="E476" s="5">
        <v>46296</v>
      </c>
      <c r="F476" t="s">
        <v>164</v>
      </c>
      <c r="G476" t="s">
        <v>165</v>
      </c>
      <c r="H476" t="s">
        <v>26</v>
      </c>
      <c r="I476" t="s">
        <v>27</v>
      </c>
      <c r="J476" t="s">
        <v>27</v>
      </c>
      <c r="K476" t="s">
        <v>436</v>
      </c>
      <c r="L476" s="2" t="s">
        <v>56</v>
      </c>
      <c r="M476" s="8" t="s">
        <v>57</v>
      </c>
      <c r="N476" s="7">
        <v>0.27</v>
      </c>
      <c r="O476" s="2">
        <v>1</v>
      </c>
      <c r="P476" s="7">
        <v>0.27</v>
      </c>
      <c r="Q476" s="7">
        <v>0</v>
      </c>
      <c r="R476" s="7">
        <v>0.04</v>
      </c>
      <c r="S476" s="7">
        <v>0.19</v>
      </c>
      <c r="T476" s="7">
        <v>0.31</v>
      </c>
      <c r="U476">
        <v>6</v>
      </c>
      <c r="V476">
        <v>6</v>
      </c>
    </row>
    <row r="477" spans="1:22">
      <c r="A477">
        <v>473</v>
      </c>
      <c r="B477" s="4">
        <v>46296.820497685185</v>
      </c>
      <c r="C477" s="5">
        <v>46296</v>
      </c>
      <c r="D477" s="6">
        <v>2.8206481481481482</v>
      </c>
      <c r="E477" s="5">
        <v>46296</v>
      </c>
      <c r="F477" t="s">
        <v>164</v>
      </c>
      <c r="G477" t="s">
        <v>165</v>
      </c>
      <c r="H477" t="s">
        <v>26</v>
      </c>
      <c r="I477" t="s">
        <v>27</v>
      </c>
      <c r="J477" t="s">
        <v>27</v>
      </c>
      <c r="K477" t="s">
        <v>436</v>
      </c>
      <c r="L477" s="2" t="s">
        <v>56</v>
      </c>
      <c r="M477" s="8" t="s">
        <v>57</v>
      </c>
      <c r="N477" s="7">
        <v>0.27</v>
      </c>
      <c r="O477" s="2">
        <v>1</v>
      </c>
      <c r="P477" s="7">
        <v>0.27</v>
      </c>
      <c r="Q477" s="7">
        <v>0</v>
      </c>
      <c r="R477" s="7">
        <v>0.04</v>
      </c>
      <c r="S477" s="7">
        <v>0.19</v>
      </c>
      <c r="T477" s="7">
        <v>0.31</v>
      </c>
      <c r="U477">
        <v>6</v>
      </c>
      <c r="V477">
        <v>6</v>
      </c>
    </row>
    <row r="478" spans="1:22">
      <c r="A478">
        <v>474</v>
      </c>
      <c r="B478" s="4">
        <v>46296.820497685185</v>
      </c>
      <c r="C478" s="5">
        <v>46296</v>
      </c>
      <c r="D478" s="6">
        <v>2.820798611111111</v>
      </c>
      <c r="E478" s="5">
        <v>46296</v>
      </c>
      <c r="F478" t="s">
        <v>164</v>
      </c>
      <c r="G478" t="s">
        <v>165</v>
      </c>
      <c r="H478" t="s">
        <v>26</v>
      </c>
      <c r="I478" t="s">
        <v>27</v>
      </c>
      <c r="J478" t="s">
        <v>27</v>
      </c>
      <c r="K478" t="s">
        <v>436</v>
      </c>
      <c r="L478" s="2" t="s">
        <v>143</v>
      </c>
      <c r="M478" s="8" t="s">
        <v>144</v>
      </c>
      <c r="N478" s="7">
        <v>1.25</v>
      </c>
      <c r="O478" s="2">
        <v>1</v>
      </c>
      <c r="P478" s="7">
        <v>1.25</v>
      </c>
      <c r="Q478" s="7">
        <v>0</v>
      </c>
      <c r="R478" s="7">
        <v>0</v>
      </c>
      <c r="S478" s="7">
        <v>1.21</v>
      </c>
      <c r="T478" s="7">
        <v>1.25</v>
      </c>
      <c r="U478">
        <v>6</v>
      </c>
      <c r="V478">
        <v>6</v>
      </c>
    </row>
    <row r="479" spans="1:22">
      <c r="A479">
        <v>475</v>
      </c>
      <c r="B479" s="4">
        <v>46296.840162037035</v>
      </c>
      <c r="C479" s="5">
        <v>46296</v>
      </c>
      <c r="D479" s="6">
        <v>2.8401620370370368</v>
      </c>
      <c r="E479" s="5">
        <v>46296</v>
      </c>
      <c r="F479" t="s">
        <v>164</v>
      </c>
      <c r="G479" t="s">
        <v>165</v>
      </c>
      <c r="H479" t="s">
        <v>26</v>
      </c>
      <c r="I479" t="s">
        <v>27</v>
      </c>
      <c r="J479" t="s">
        <v>27</v>
      </c>
      <c r="K479" t="s">
        <v>439</v>
      </c>
      <c r="L479" s="2" t="s">
        <v>35</v>
      </c>
      <c r="M479" s="8" t="s">
        <v>36</v>
      </c>
      <c r="N479" s="7">
        <v>0.81</v>
      </c>
      <c r="O479" s="2">
        <v>1</v>
      </c>
      <c r="P479" s="7">
        <v>0.81</v>
      </c>
      <c r="Q479" s="7">
        <v>0</v>
      </c>
      <c r="R479" s="7">
        <v>0.13</v>
      </c>
      <c r="S479" s="7">
        <v>0.38</v>
      </c>
      <c r="T479" s="7">
        <v>0.94</v>
      </c>
      <c r="U479">
        <v>6</v>
      </c>
      <c r="V479">
        <v>6</v>
      </c>
    </row>
    <row r="480" spans="1:22">
      <c r="A480">
        <v>476</v>
      </c>
      <c r="B480" s="4">
        <v>46296.854884259257</v>
      </c>
      <c r="C480" s="5">
        <v>46296</v>
      </c>
      <c r="D480" s="6">
        <v>2.8569560185185185</v>
      </c>
      <c r="E480" s="5">
        <v>46296</v>
      </c>
      <c r="F480" t="s">
        <v>164</v>
      </c>
      <c r="G480" t="s">
        <v>165</v>
      </c>
      <c r="H480" t="s">
        <v>26</v>
      </c>
      <c r="I480" t="s">
        <v>27</v>
      </c>
      <c r="J480" t="s">
        <v>27</v>
      </c>
      <c r="K480" t="s">
        <v>440</v>
      </c>
      <c r="L480" s="2" t="s">
        <v>88</v>
      </c>
      <c r="M480" s="8" t="s">
        <v>89</v>
      </c>
      <c r="N480" s="7">
        <v>0.81</v>
      </c>
      <c r="O480" s="2">
        <v>1</v>
      </c>
      <c r="P480" s="7">
        <v>0.81</v>
      </c>
      <c r="Q480" s="7">
        <v>0</v>
      </c>
      <c r="R480" s="7">
        <v>0.13</v>
      </c>
      <c r="S480" s="7">
        <v>0.79</v>
      </c>
      <c r="T480" s="7">
        <v>0.94</v>
      </c>
      <c r="U480">
        <v>6</v>
      </c>
      <c r="V480">
        <v>6</v>
      </c>
    </row>
    <row r="481" spans="1:22">
      <c r="A481">
        <v>477</v>
      </c>
      <c r="B481" s="4">
        <v>46296.854884259257</v>
      </c>
      <c r="C481" s="5">
        <v>46296</v>
      </c>
      <c r="D481" s="6">
        <v>2.8569560185185185</v>
      </c>
      <c r="E481" s="5">
        <v>46296</v>
      </c>
      <c r="F481" t="s">
        <v>164</v>
      </c>
      <c r="G481" t="s">
        <v>165</v>
      </c>
      <c r="H481" t="s">
        <v>26</v>
      </c>
      <c r="I481" t="s">
        <v>27</v>
      </c>
      <c r="J481" t="s">
        <v>27</v>
      </c>
      <c r="K481" t="s">
        <v>440</v>
      </c>
      <c r="L481" s="2" t="s">
        <v>88</v>
      </c>
      <c r="M481" s="8" t="s">
        <v>89</v>
      </c>
      <c r="N481" s="7">
        <v>0.81</v>
      </c>
      <c r="O481" s="2">
        <v>1</v>
      </c>
      <c r="P481" s="7">
        <v>0.81</v>
      </c>
      <c r="Q481" s="7">
        <v>0</v>
      </c>
      <c r="R481" s="7">
        <v>0.13</v>
      </c>
      <c r="S481" s="7">
        <v>0.79</v>
      </c>
      <c r="T481" s="7">
        <v>0.94</v>
      </c>
      <c r="U481">
        <v>7</v>
      </c>
      <c r="V481">
        <v>7</v>
      </c>
    </row>
    <row r="482" spans="1:22">
      <c r="A482">
        <v>478</v>
      </c>
      <c r="B482" s="4">
        <v>46296.854884259257</v>
      </c>
      <c r="C482" s="5">
        <v>46296</v>
      </c>
      <c r="D482" s="6">
        <v>2.8569560185185185</v>
      </c>
      <c r="E482" s="5">
        <v>46296</v>
      </c>
      <c r="F482" t="s">
        <v>164</v>
      </c>
      <c r="G482" t="s">
        <v>165</v>
      </c>
      <c r="H482" t="s">
        <v>26</v>
      </c>
      <c r="I482" t="s">
        <v>27</v>
      </c>
      <c r="J482" t="s">
        <v>27</v>
      </c>
      <c r="K482" t="s">
        <v>440</v>
      </c>
      <c r="L482" s="2" t="s">
        <v>88</v>
      </c>
      <c r="M482" s="8" t="s">
        <v>89</v>
      </c>
      <c r="N482" s="7">
        <v>0.81</v>
      </c>
      <c r="O482" s="2">
        <v>1</v>
      </c>
      <c r="P482" s="7">
        <v>0.81</v>
      </c>
      <c r="Q482" s="7">
        <v>0</v>
      </c>
      <c r="R482" s="7">
        <v>0.13</v>
      </c>
      <c r="S482" s="7">
        <v>0.79</v>
      </c>
      <c r="T482" s="7">
        <v>0.94</v>
      </c>
      <c r="U482">
        <v>7</v>
      </c>
      <c r="V482">
        <v>7</v>
      </c>
    </row>
    <row r="483" spans="1:22">
      <c r="A483">
        <v>479</v>
      </c>
      <c r="B483" s="4">
        <v>46296.857199074075</v>
      </c>
      <c r="C483" s="5">
        <v>46296</v>
      </c>
      <c r="D483" s="6">
        <v>2.8571875000000002</v>
      </c>
      <c r="E483" s="5">
        <v>46296</v>
      </c>
      <c r="F483" t="s">
        <v>164</v>
      </c>
      <c r="G483" t="s">
        <v>165</v>
      </c>
      <c r="H483" t="s">
        <v>26</v>
      </c>
      <c r="I483" t="s">
        <v>27</v>
      </c>
      <c r="J483" t="s">
        <v>27</v>
      </c>
      <c r="K483" t="s">
        <v>441</v>
      </c>
      <c r="L483" s="2" t="s">
        <v>226</v>
      </c>
      <c r="M483" s="8" t="s">
        <v>227</v>
      </c>
      <c r="N483" s="7">
        <v>4.33</v>
      </c>
      <c r="O483" s="2">
        <v>1</v>
      </c>
      <c r="P483" s="7">
        <v>4.33</v>
      </c>
      <c r="Q483" s="7">
        <v>0</v>
      </c>
      <c r="R483" s="7">
        <v>0.67</v>
      </c>
      <c r="S483" s="7">
        <v>1.68</v>
      </c>
      <c r="T483" s="7">
        <v>5</v>
      </c>
      <c r="U483">
        <v>7</v>
      </c>
      <c r="V483">
        <v>7</v>
      </c>
    </row>
    <row r="484" spans="1:22">
      <c r="A484">
        <v>480</v>
      </c>
      <c r="B484" s="4">
        <v>46296.857199074075</v>
      </c>
      <c r="C484" s="5">
        <v>46296</v>
      </c>
      <c r="D484" s="6">
        <v>2.8572685185185187</v>
      </c>
      <c r="E484" s="5">
        <v>46296</v>
      </c>
      <c r="F484" t="s">
        <v>164</v>
      </c>
      <c r="G484" t="s">
        <v>165</v>
      </c>
      <c r="H484" t="s">
        <v>26</v>
      </c>
      <c r="I484" t="s">
        <v>27</v>
      </c>
      <c r="J484" t="s">
        <v>27</v>
      </c>
      <c r="K484" t="s">
        <v>441</v>
      </c>
      <c r="L484" s="2" t="s">
        <v>355</v>
      </c>
      <c r="M484" s="8" t="s">
        <v>356</v>
      </c>
      <c r="N484" s="7">
        <v>4.33</v>
      </c>
      <c r="O484" s="2">
        <v>1</v>
      </c>
      <c r="P484" s="7">
        <v>4.33</v>
      </c>
      <c r="Q484" s="7">
        <v>0</v>
      </c>
      <c r="R484" s="7">
        <v>0.67</v>
      </c>
      <c r="S484" s="7">
        <v>1.68</v>
      </c>
      <c r="T484" s="7">
        <v>5</v>
      </c>
      <c r="U484">
        <v>7</v>
      </c>
      <c r="V484">
        <v>7</v>
      </c>
    </row>
    <row r="485" spans="1:22">
      <c r="A485">
        <v>481</v>
      </c>
      <c r="B485" s="4">
        <v>46296.857199074075</v>
      </c>
      <c r="C485" s="5">
        <v>46296</v>
      </c>
      <c r="D485" s="6">
        <v>2.8573263888888887</v>
      </c>
      <c r="E485" s="5">
        <v>46296</v>
      </c>
      <c r="F485" t="s">
        <v>164</v>
      </c>
      <c r="G485" t="s">
        <v>165</v>
      </c>
      <c r="H485" t="s">
        <v>26</v>
      </c>
      <c r="I485" t="s">
        <v>27</v>
      </c>
      <c r="J485" t="s">
        <v>27</v>
      </c>
      <c r="K485" t="s">
        <v>441</v>
      </c>
      <c r="L485" s="2" t="s">
        <v>319</v>
      </c>
      <c r="M485" s="8" t="s">
        <v>320</v>
      </c>
      <c r="N485" s="7">
        <v>4.33</v>
      </c>
      <c r="O485" s="2">
        <v>1</v>
      </c>
      <c r="P485" s="7">
        <v>4.33</v>
      </c>
      <c r="Q485" s="7">
        <v>0</v>
      </c>
      <c r="R485" s="7">
        <v>0.67</v>
      </c>
      <c r="S485" s="7">
        <v>1.68</v>
      </c>
      <c r="T485" s="7">
        <v>5</v>
      </c>
      <c r="U485">
        <v>7</v>
      </c>
      <c r="V485">
        <v>7</v>
      </c>
    </row>
    <row r="486" spans="1:22">
      <c r="A486">
        <v>482</v>
      </c>
      <c r="B486" s="4">
        <v>46296.862951388888</v>
      </c>
      <c r="C486" s="5">
        <v>46296</v>
      </c>
      <c r="D486" s="6">
        <v>2.8629513888888889</v>
      </c>
      <c r="E486" s="5">
        <v>46296</v>
      </c>
      <c r="F486" t="s">
        <v>164</v>
      </c>
      <c r="G486" t="s">
        <v>165</v>
      </c>
      <c r="H486" t="s">
        <v>26</v>
      </c>
      <c r="I486" t="s">
        <v>27</v>
      </c>
      <c r="J486" t="s">
        <v>27</v>
      </c>
      <c r="K486" t="s">
        <v>442</v>
      </c>
      <c r="L486" s="2" t="s">
        <v>168</v>
      </c>
      <c r="M486" s="8" t="s">
        <v>169</v>
      </c>
      <c r="N486" s="7">
        <v>1.63</v>
      </c>
      <c r="O486" s="2">
        <v>1</v>
      </c>
      <c r="P486" s="7">
        <v>1.63</v>
      </c>
      <c r="Q486" s="7">
        <v>0</v>
      </c>
      <c r="R486" s="7">
        <v>0.25</v>
      </c>
      <c r="S486" s="7">
        <v>1.58</v>
      </c>
      <c r="T486" s="7">
        <v>1.88</v>
      </c>
      <c r="U486">
        <v>7</v>
      </c>
      <c r="V486">
        <v>7</v>
      </c>
    </row>
    <row r="487" spans="1:22">
      <c r="A487">
        <v>483</v>
      </c>
      <c r="B487" s="4">
        <v>46296.865254629629</v>
      </c>
      <c r="C487" s="5">
        <v>46296</v>
      </c>
      <c r="D487" s="6">
        <v>2.8652546296296295</v>
      </c>
      <c r="E487" s="5">
        <v>46296</v>
      </c>
      <c r="F487" t="s">
        <v>164</v>
      </c>
      <c r="G487" t="s">
        <v>165</v>
      </c>
      <c r="H487" t="s">
        <v>26</v>
      </c>
      <c r="I487" t="s">
        <v>27</v>
      </c>
      <c r="J487" t="s">
        <v>27</v>
      </c>
      <c r="K487" t="s">
        <v>443</v>
      </c>
      <c r="L487" s="2" t="s">
        <v>120</v>
      </c>
      <c r="M487" s="8" t="s">
        <v>121</v>
      </c>
      <c r="N487" s="7">
        <v>0.81</v>
      </c>
      <c r="O487" s="2">
        <v>1</v>
      </c>
      <c r="P487" s="7">
        <v>0.81</v>
      </c>
      <c r="Q487" s="7">
        <v>0</v>
      </c>
      <c r="R487" s="7">
        <v>0.13</v>
      </c>
      <c r="S487" s="7">
        <v>0.79</v>
      </c>
      <c r="T487" s="7">
        <v>0.94</v>
      </c>
      <c r="U487">
        <v>7</v>
      </c>
      <c r="V487">
        <v>7</v>
      </c>
    </row>
    <row r="488" spans="1:22">
      <c r="A488">
        <v>484</v>
      </c>
      <c r="B488" s="4">
        <v>46296.865254629629</v>
      </c>
      <c r="C488" s="5">
        <v>46296</v>
      </c>
      <c r="D488" s="6">
        <v>2.865335648148148</v>
      </c>
      <c r="E488" s="5">
        <v>46296</v>
      </c>
      <c r="F488" t="s">
        <v>164</v>
      </c>
      <c r="G488" t="s">
        <v>165</v>
      </c>
      <c r="H488" t="s">
        <v>26</v>
      </c>
      <c r="I488" t="s">
        <v>27</v>
      </c>
      <c r="J488" t="s">
        <v>27</v>
      </c>
      <c r="K488" t="s">
        <v>443</v>
      </c>
      <c r="L488" s="3" t="s">
        <v>231</v>
      </c>
      <c r="M488" s="8" t="s">
        <v>232</v>
      </c>
      <c r="N488" s="7">
        <v>0.55000000000000004</v>
      </c>
      <c r="O488" s="2">
        <v>1</v>
      </c>
      <c r="P488" s="7">
        <v>0.55000000000000004</v>
      </c>
      <c r="Q488" s="7">
        <v>0</v>
      </c>
      <c r="R488" s="7">
        <v>0.08</v>
      </c>
      <c r="S488" s="7">
        <v>0.54</v>
      </c>
      <c r="T488" s="7">
        <v>0.63</v>
      </c>
      <c r="U488">
        <v>7</v>
      </c>
      <c r="V488">
        <v>7</v>
      </c>
    </row>
    <row r="489" spans="1:22">
      <c r="A489">
        <v>485</v>
      </c>
      <c r="B489" s="4">
        <v>46296.868090277778</v>
      </c>
      <c r="C489" s="5">
        <v>46296</v>
      </c>
      <c r="D489" s="6">
        <v>2.8680902777777777</v>
      </c>
      <c r="E489" s="5">
        <v>46296</v>
      </c>
      <c r="F489" t="s">
        <v>164</v>
      </c>
      <c r="G489" t="s">
        <v>165</v>
      </c>
      <c r="H489" t="s">
        <v>26</v>
      </c>
      <c r="I489" t="s">
        <v>27</v>
      </c>
      <c r="J489" t="s">
        <v>27</v>
      </c>
      <c r="K489" t="s">
        <v>444</v>
      </c>
      <c r="L489" s="2" t="s">
        <v>445</v>
      </c>
      <c r="M489" s="8" t="s">
        <v>446</v>
      </c>
      <c r="N489" s="7">
        <v>1.9</v>
      </c>
      <c r="O489" s="2">
        <v>1</v>
      </c>
      <c r="P489" s="7">
        <v>1.9</v>
      </c>
      <c r="Q489" s="7">
        <v>0</v>
      </c>
      <c r="R489" s="7">
        <v>0.28999999999999998</v>
      </c>
      <c r="S489" s="7">
        <v>0.5</v>
      </c>
      <c r="T489" s="7">
        <v>2.19</v>
      </c>
      <c r="U489">
        <v>7</v>
      </c>
      <c r="V489">
        <v>7</v>
      </c>
    </row>
    <row r="490" spans="1:22">
      <c r="A490">
        <v>486</v>
      </c>
      <c r="B490" s="4">
        <v>46296.868090277778</v>
      </c>
      <c r="C490" s="5">
        <v>46296</v>
      </c>
      <c r="D490" s="6">
        <v>2.8681134259259258</v>
      </c>
      <c r="E490" s="5">
        <v>46296</v>
      </c>
      <c r="F490" t="s">
        <v>164</v>
      </c>
      <c r="G490" t="s">
        <v>165</v>
      </c>
      <c r="H490" t="s">
        <v>26</v>
      </c>
      <c r="I490" t="s">
        <v>27</v>
      </c>
      <c r="J490" t="s">
        <v>27</v>
      </c>
      <c r="K490" t="s">
        <v>444</v>
      </c>
      <c r="L490" s="2" t="s">
        <v>445</v>
      </c>
      <c r="M490" s="8" t="s">
        <v>446</v>
      </c>
      <c r="N490" s="7">
        <v>1.9</v>
      </c>
      <c r="O490" s="2">
        <v>1</v>
      </c>
      <c r="P490" s="7">
        <v>1.9</v>
      </c>
      <c r="Q490" s="7">
        <v>0</v>
      </c>
      <c r="R490" s="7">
        <v>0.28999999999999998</v>
      </c>
      <c r="S490" s="7">
        <v>0.5</v>
      </c>
      <c r="T490" s="7">
        <v>2.19</v>
      </c>
      <c r="U490">
        <v>7</v>
      </c>
      <c r="V490">
        <v>7</v>
      </c>
    </row>
    <row r="491" spans="1:22">
      <c r="A491">
        <v>487</v>
      </c>
      <c r="B491" s="4">
        <v>46296.87054398148</v>
      </c>
      <c r="C491" s="5">
        <v>46296</v>
      </c>
      <c r="D491" s="6">
        <v>2.8705439814814815</v>
      </c>
      <c r="E491" s="5">
        <v>46296</v>
      </c>
      <c r="F491" t="s">
        <v>164</v>
      </c>
      <c r="G491" t="s">
        <v>165</v>
      </c>
      <c r="H491" t="s">
        <v>26</v>
      </c>
      <c r="I491" t="s">
        <v>27</v>
      </c>
      <c r="J491" t="s">
        <v>27</v>
      </c>
      <c r="K491" t="s">
        <v>447</v>
      </c>
      <c r="L491" s="2" t="s">
        <v>146</v>
      </c>
      <c r="M491" s="8" t="s">
        <v>147</v>
      </c>
      <c r="N491" s="7">
        <v>2.16</v>
      </c>
      <c r="O491" s="2">
        <v>1</v>
      </c>
      <c r="P491" s="7">
        <v>2.16</v>
      </c>
      <c r="Q491" s="7">
        <v>0</v>
      </c>
      <c r="R491" s="7">
        <v>0.34</v>
      </c>
      <c r="S491" s="7">
        <v>2.09</v>
      </c>
      <c r="T491" s="7">
        <v>2.5</v>
      </c>
      <c r="U491">
        <v>7</v>
      </c>
      <c r="V491">
        <v>7</v>
      </c>
    </row>
    <row r="492" spans="1:22">
      <c r="A492">
        <v>488</v>
      </c>
      <c r="B492" s="4">
        <v>46296.87054398148</v>
      </c>
      <c r="C492" s="5">
        <v>46296</v>
      </c>
      <c r="D492" s="6">
        <v>2.8706134259259257</v>
      </c>
      <c r="E492" s="5">
        <v>46296</v>
      </c>
      <c r="F492" t="s">
        <v>164</v>
      </c>
      <c r="G492" t="s">
        <v>165</v>
      </c>
      <c r="H492" t="s">
        <v>26</v>
      </c>
      <c r="I492" t="s">
        <v>27</v>
      </c>
      <c r="J492" t="s">
        <v>27</v>
      </c>
      <c r="K492" t="s">
        <v>447</v>
      </c>
      <c r="L492" s="2" t="s">
        <v>160</v>
      </c>
      <c r="M492" s="8" t="s">
        <v>161</v>
      </c>
      <c r="N492" s="7">
        <v>2.16</v>
      </c>
      <c r="O492" s="2">
        <v>1</v>
      </c>
      <c r="P492" s="7">
        <v>2.16</v>
      </c>
      <c r="Q492" s="7">
        <v>0</v>
      </c>
      <c r="R492" s="7">
        <v>0.34</v>
      </c>
      <c r="S492" s="7">
        <v>2.08</v>
      </c>
      <c r="T492" s="7">
        <v>2.5</v>
      </c>
      <c r="U492">
        <v>7</v>
      </c>
      <c r="V492">
        <v>7</v>
      </c>
    </row>
    <row r="493" spans="1:22">
      <c r="A493">
        <v>489</v>
      </c>
      <c r="B493" s="4">
        <v>46296.871736111112</v>
      </c>
      <c r="C493" s="5">
        <v>46296</v>
      </c>
      <c r="D493" s="6">
        <v>2.8717361111111113</v>
      </c>
      <c r="E493" s="5">
        <v>46296</v>
      </c>
      <c r="F493" t="s">
        <v>164</v>
      </c>
      <c r="G493" t="s">
        <v>165</v>
      </c>
      <c r="H493" t="s">
        <v>26</v>
      </c>
      <c r="I493" t="s">
        <v>27</v>
      </c>
      <c r="J493" t="s">
        <v>27</v>
      </c>
      <c r="K493" t="s">
        <v>448</v>
      </c>
      <c r="L493" s="2" t="s">
        <v>124</v>
      </c>
      <c r="M493" s="8" t="s">
        <v>125</v>
      </c>
      <c r="N493" s="7">
        <v>1.08</v>
      </c>
      <c r="O493" s="2">
        <v>1</v>
      </c>
      <c r="P493" s="7">
        <v>1.08</v>
      </c>
      <c r="Q493" s="7">
        <v>0</v>
      </c>
      <c r="R493" s="7">
        <v>0.17</v>
      </c>
      <c r="S493" s="7">
        <v>1.05</v>
      </c>
      <c r="T493" s="7">
        <v>1.25</v>
      </c>
      <c r="U493">
        <v>7</v>
      </c>
      <c r="V493">
        <v>7</v>
      </c>
    </row>
    <row r="494" spans="1:22">
      <c r="A494">
        <v>490</v>
      </c>
      <c r="B494" s="4">
        <v>46296.871736111112</v>
      </c>
      <c r="C494" s="5">
        <v>46296</v>
      </c>
      <c r="D494" s="6">
        <v>2.8717939814814817</v>
      </c>
      <c r="E494" s="5">
        <v>46296</v>
      </c>
      <c r="F494" t="s">
        <v>164</v>
      </c>
      <c r="G494" t="s">
        <v>165</v>
      </c>
      <c r="H494" t="s">
        <v>26</v>
      </c>
      <c r="I494" t="s">
        <v>27</v>
      </c>
      <c r="J494" t="s">
        <v>27</v>
      </c>
      <c r="K494" t="s">
        <v>448</v>
      </c>
      <c r="L494" s="2" t="s">
        <v>124</v>
      </c>
      <c r="M494" s="8" t="s">
        <v>125</v>
      </c>
      <c r="N494" s="7">
        <v>1.08</v>
      </c>
      <c r="O494" s="2">
        <v>1</v>
      </c>
      <c r="P494" s="7">
        <v>1.08</v>
      </c>
      <c r="Q494" s="7">
        <v>0</v>
      </c>
      <c r="R494" s="7">
        <v>0.17</v>
      </c>
      <c r="S494" s="7">
        <v>1.05</v>
      </c>
      <c r="T494" s="7">
        <v>1.25</v>
      </c>
      <c r="U494">
        <v>7</v>
      </c>
      <c r="V494">
        <v>7</v>
      </c>
    </row>
    <row r="495" spans="1:22">
      <c r="A495">
        <v>491</v>
      </c>
      <c r="B495" s="4">
        <v>46296.871736111112</v>
      </c>
      <c r="C495" s="5">
        <v>46296</v>
      </c>
      <c r="D495" s="6">
        <v>2.8718055555555555</v>
      </c>
      <c r="E495" s="5">
        <v>46296</v>
      </c>
      <c r="F495" t="s">
        <v>164</v>
      </c>
      <c r="G495" t="s">
        <v>165</v>
      </c>
      <c r="H495" t="s">
        <v>26</v>
      </c>
      <c r="I495" t="s">
        <v>27</v>
      </c>
      <c r="J495" t="s">
        <v>27</v>
      </c>
      <c r="K495" t="s">
        <v>448</v>
      </c>
      <c r="L495" s="2" t="s">
        <v>124</v>
      </c>
      <c r="M495" s="8" t="s">
        <v>125</v>
      </c>
      <c r="N495" s="7">
        <v>1.08</v>
      </c>
      <c r="O495" s="2">
        <v>1</v>
      </c>
      <c r="P495" s="7">
        <v>1.08</v>
      </c>
      <c r="Q495" s="7">
        <v>0</v>
      </c>
      <c r="R495" s="7">
        <v>0.17</v>
      </c>
      <c r="S495" s="7">
        <v>1.05</v>
      </c>
      <c r="T495" s="7">
        <v>1.25</v>
      </c>
      <c r="U495">
        <v>7</v>
      </c>
      <c r="V495">
        <v>7</v>
      </c>
    </row>
    <row r="496" spans="1:22">
      <c r="A496">
        <v>492</v>
      </c>
      <c r="B496" s="4">
        <v>46296.873553240737</v>
      </c>
      <c r="C496" s="5">
        <v>46296</v>
      </c>
      <c r="D496" s="6">
        <v>2.8735532407407409</v>
      </c>
      <c r="E496" s="5">
        <v>46296</v>
      </c>
      <c r="F496" t="s">
        <v>164</v>
      </c>
      <c r="G496" t="s">
        <v>165</v>
      </c>
      <c r="H496" t="s">
        <v>26</v>
      </c>
      <c r="I496" t="s">
        <v>27</v>
      </c>
      <c r="J496" t="s">
        <v>27</v>
      </c>
      <c r="K496" t="s">
        <v>449</v>
      </c>
      <c r="L496" s="2" t="s">
        <v>146</v>
      </c>
      <c r="M496" s="8" t="s">
        <v>147</v>
      </c>
      <c r="N496" s="7">
        <v>2.16</v>
      </c>
      <c r="O496" s="2">
        <v>1</v>
      </c>
      <c r="P496" s="7">
        <v>2.16</v>
      </c>
      <c r="Q496" s="7">
        <v>0</v>
      </c>
      <c r="R496" s="7">
        <v>0.34</v>
      </c>
      <c r="S496" s="7">
        <v>2.09</v>
      </c>
      <c r="T496" s="7">
        <v>2.5</v>
      </c>
      <c r="U496">
        <v>7</v>
      </c>
      <c r="V496">
        <v>7</v>
      </c>
    </row>
    <row r="497" spans="1:22">
      <c r="A497">
        <v>493</v>
      </c>
      <c r="B497" s="4">
        <v>46296.873553240737</v>
      </c>
      <c r="C497" s="5">
        <v>46296</v>
      </c>
      <c r="D497" s="6">
        <v>2.873576388888889</v>
      </c>
      <c r="E497" s="5">
        <v>46296</v>
      </c>
      <c r="F497" t="s">
        <v>164</v>
      </c>
      <c r="G497" t="s">
        <v>165</v>
      </c>
      <c r="H497" t="s">
        <v>26</v>
      </c>
      <c r="I497" t="s">
        <v>27</v>
      </c>
      <c r="J497" t="s">
        <v>27</v>
      </c>
      <c r="K497" t="s">
        <v>449</v>
      </c>
      <c r="L497" s="2" t="s">
        <v>146</v>
      </c>
      <c r="M497" s="8" t="s">
        <v>147</v>
      </c>
      <c r="N497" s="7">
        <v>2.16</v>
      </c>
      <c r="O497" s="2">
        <v>1</v>
      </c>
      <c r="P497" s="7">
        <v>2.16</v>
      </c>
      <c r="Q497" s="7">
        <v>0</v>
      </c>
      <c r="R497" s="7">
        <v>0.34</v>
      </c>
      <c r="S497" s="7">
        <v>2.09</v>
      </c>
      <c r="T497" s="7">
        <v>2.5</v>
      </c>
      <c r="U497">
        <v>7</v>
      </c>
      <c r="V497">
        <v>7</v>
      </c>
    </row>
    <row r="498" spans="1:22">
      <c r="A498">
        <v>494</v>
      </c>
      <c r="B498" s="4">
        <v>46296.873553240737</v>
      </c>
      <c r="C498" s="5">
        <v>46296</v>
      </c>
      <c r="D498" s="6">
        <v>2.8736458333333332</v>
      </c>
      <c r="E498" s="5">
        <v>46296</v>
      </c>
      <c r="F498" t="s">
        <v>164</v>
      </c>
      <c r="G498" t="s">
        <v>165</v>
      </c>
      <c r="H498" t="s">
        <v>26</v>
      </c>
      <c r="I498" t="s">
        <v>27</v>
      </c>
      <c r="J498" t="s">
        <v>27</v>
      </c>
      <c r="K498" t="s">
        <v>449</v>
      </c>
      <c r="L498" s="2" t="s">
        <v>84</v>
      </c>
      <c r="M498" s="8" t="s">
        <v>85</v>
      </c>
      <c r="N498" s="7">
        <v>1.35</v>
      </c>
      <c r="O498" s="2">
        <v>1</v>
      </c>
      <c r="P498" s="7">
        <v>1.35</v>
      </c>
      <c r="Q498" s="7">
        <v>0</v>
      </c>
      <c r="R498" s="7">
        <v>0.21</v>
      </c>
      <c r="S498" s="7">
        <v>1.3</v>
      </c>
      <c r="T498" s="7">
        <v>1.56</v>
      </c>
      <c r="U498">
        <v>7</v>
      </c>
      <c r="V498">
        <v>7</v>
      </c>
    </row>
    <row r="499" spans="1:22">
      <c r="A499">
        <v>495</v>
      </c>
      <c r="B499" s="4">
        <v>46296.8752662037</v>
      </c>
      <c r="C499" s="5">
        <v>46296</v>
      </c>
      <c r="D499" s="6">
        <v>2.8752662037037036</v>
      </c>
      <c r="E499" s="5">
        <v>46296</v>
      </c>
      <c r="F499" t="s">
        <v>164</v>
      </c>
      <c r="G499" t="s">
        <v>165</v>
      </c>
      <c r="H499" t="s">
        <v>26</v>
      </c>
      <c r="I499" t="s">
        <v>27</v>
      </c>
      <c r="J499" t="s">
        <v>27</v>
      </c>
      <c r="K499" t="s">
        <v>450</v>
      </c>
      <c r="L499" s="2" t="s">
        <v>63</v>
      </c>
      <c r="M499" s="8" t="s">
        <v>64</v>
      </c>
      <c r="N499" s="7">
        <v>1.9</v>
      </c>
      <c r="O499" s="2">
        <v>1</v>
      </c>
      <c r="P499" s="7">
        <v>1.9</v>
      </c>
      <c r="Q499" s="7">
        <v>0</v>
      </c>
      <c r="R499" s="7">
        <v>0.28999999999999998</v>
      </c>
      <c r="S499" s="7">
        <v>1.83</v>
      </c>
      <c r="T499" s="7">
        <v>2.19</v>
      </c>
      <c r="U499">
        <v>7</v>
      </c>
      <c r="V499">
        <v>7</v>
      </c>
    </row>
    <row r="500" spans="1:22">
      <c r="A500">
        <v>496</v>
      </c>
      <c r="B500" s="4">
        <v>46296.889027777775</v>
      </c>
      <c r="C500" s="5">
        <v>46296</v>
      </c>
      <c r="D500" s="6">
        <v>2.8890162037037035</v>
      </c>
      <c r="E500" s="5">
        <v>46296</v>
      </c>
      <c r="F500" t="s">
        <v>164</v>
      </c>
      <c r="G500" t="s">
        <v>165</v>
      </c>
      <c r="H500" t="s">
        <v>26</v>
      </c>
      <c r="I500" t="s">
        <v>27</v>
      </c>
      <c r="J500" t="s">
        <v>27</v>
      </c>
      <c r="K500" t="s">
        <v>451</v>
      </c>
      <c r="L500" s="2" t="s">
        <v>100</v>
      </c>
      <c r="M500" s="8" t="s">
        <v>101</v>
      </c>
      <c r="N500" s="7">
        <v>0.81</v>
      </c>
      <c r="O500" s="2">
        <v>1</v>
      </c>
      <c r="P500" s="7">
        <v>0.81</v>
      </c>
      <c r="Q500" s="7">
        <v>0</v>
      </c>
      <c r="R500" s="7">
        <v>0.13</v>
      </c>
      <c r="S500" s="7">
        <v>0.39</v>
      </c>
      <c r="T500" s="7">
        <v>0.94</v>
      </c>
      <c r="U500">
        <v>7</v>
      </c>
      <c r="V500">
        <v>7</v>
      </c>
    </row>
    <row r="501" spans="1:22">
      <c r="A501">
        <v>497</v>
      </c>
      <c r="B501" s="4">
        <v>46296.891817129632</v>
      </c>
      <c r="C501" s="5">
        <v>46296</v>
      </c>
      <c r="D501" s="6">
        <v>2.8918171296296298</v>
      </c>
      <c r="E501" s="5">
        <v>46296</v>
      </c>
      <c r="F501" t="s">
        <v>164</v>
      </c>
      <c r="G501" t="s">
        <v>165</v>
      </c>
      <c r="H501" t="s">
        <v>26</v>
      </c>
      <c r="I501" t="s">
        <v>27</v>
      </c>
      <c r="J501" t="s">
        <v>27</v>
      </c>
      <c r="K501" t="s">
        <v>452</v>
      </c>
      <c r="L501" s="2" t="s">
        <v>215</v>
      </c>
      <c r="M501" s="8" t="s">
        <v>216</v>
      </c>
      <c r="N501" s="7">
        <v>0.81</v>
      </c>
      <c r="O501" s="2">
        <v>1</v>
      </c>
      <c r="P501" s="7">
        <v>0.81</v>
      </c>
      <c r="Q501" s="7">
        <v>0</v>
      </c>
      <c r="R501" s="7">
        <v>0.13</v>
      </c>
      <c r="S501" s="7">
        <v>0.78</v>
      </c>
      <c r="T501" s="7">
        <v>0.94</v>
      </c>
      <c r="U501">
        <v>7</v>
      </c>
      <c r="V501">
        <v>7</v>
      </c>
    </row>
    <row r="502" spans="1:22">
      <c r="A502">
        <v>498</v>
      </c>
      <c r="B502" s="4">
        <v>46296.910567129627</v>
      </c>
      <c r="C502" s="5">
        <v>46296</v>
      </c>
      <c r="D502" s="6">
        <v>2.9105671296296296</v>
      </c>
      <c r="E502" s="5">
        <v>46296</v>
      </c>
      <c r="F502" t="s">
        <v>164</v>
      </c>
      <c r="G502" t="s">
        <v>165</v>
      </c>
      <c r="H502" t="s">
        <v>26</v>
      </c>
      <c r="I502" t="s">
        <v>27</v>
      </c>
      <c r="J502" t="s">
        <v>27</v>
      </c>
      <c r="K502" t="s">
        <v>453</v>
      </c>
      <c r="L502" s="2" t="s">
        <v>454</v>
      </c>
      <c r="M502" s="8" t="s">
        <v>455</v>
      </c>
      <c r="N502" s="7">
        <v>1.08</v>
      </c>
      <c r="O502" s="2">
        <v>1</v>
      </c>
      <c r="P502" s="7">
        <v>1.08</v>
      </c>
      <c r="Q502" s="7">
        <v>0</v>
      </c>
      <c r="R502" s="7">
        <v>0.17</v>
      </c>
      <c r="S502" s="7">
        <v>0.63</v>
      </c>
      <c r="T502" s="7">
        <v>1.25</v>
      </c>
      <c r="U502">
        <v>7</v>
      </c>
      <c r="V502">
        <v>7</v>
      </c>
    </row>
    <row r="503" spans="1:22">
      <c r="A503">
        <v>499</v>
      </c>
      <c r="B503" s="4">
        <v>46296.93953703704</v>
      </c>
      <c r="C503" s="5">
        <v>46296</v>
      </c>
      <c r="D503" s="6">
        <v>2.9395370370370371</v>
      </c>
      <c r="E503" s="5">
        <v>46296</v>
      </c>
      <c r="F503" t="s">
        <v>164</v>
      </c>
      <c r="G503" t="s">
        <v>165</v>
      </c>
      <c r="H503" t="s">
        <v>26</v>
      </c>
      <c r="I503" t="s">
        <v>27</v>
      </c>
      <c r="J503" t="s">
        <v>27</v>
      </c>
      <c r="K503" t="s">
        <v>456</v>
      </c>
      <c r="L503" s="2" t="s">
        <v>340</v>
      </c>
      <c r="M503" s="8" t="s">
        <v>341</v>
      </c>
      <c r="N503" s="7">
        <v>2.16</v>
      </c>
      <c r="O503" s="2">
        <v>1</v>
      </c>
      <c r="P503" s="7">
        <v>2.16</v>
      </c>
      <c r="Q503" s="7">
        <v>0</v>
      </c>
      <c r="R503" s="7">
        <v>0.34</v>
      </c>
      <c r="S503" s="7">
        <v>2.09</v>
      </c>
      <c r="T503" s="7">
        <v>2.5</v>
      </c>
      <c r="U503">
        <v>7</v>
      </c>
      <c r="V503">
        <v>7</v>
      </c>
    </row>
    <row r="504" spans="1:22">
      <c r="A504">
        <v>500</v>
      </c>
      <c r="B504" s="4">
        <v>46296.945219907408</v>
      </c>
      <c r="C504" s="5">
        <v>46296</v>
      </c>
      <c r="D504" s="6">
        <v>2.9452199074074072</v>
      </c>
      <c r="E504" s="5">
        <v>46296</v>
      </c>
      <c r="F504" t="s">
        <v>164</v>
      </c>
      <c r="G504" t="s">
        <v>165</v>
      </c>
      <c r="H504" t="s">
        <v>26</v>
      </c>
      <c r="I504" t="s">
        <v>27</v>
      </c>
      <c r="J504" t="s">
        <v>27</v>
      </c>
      <c r="K504" t="s">
        <v>457</v>
      </c>
      <c r="L504" s="2" t="s">
        <v>205</v>
      </c>
      <c r="M504" s="8" t="s">
        <v>206</v>
      </c>
      <c r="N504" s="7">
        <v>0.55000000000000004</v>
      </c>
      <c r="O504" s="2">
        <v>1</v>
      </c>
      <c r="P504" s="7">
        <v>0.55000000000000004</v>
      </c>
      <c r="Q504" s="7">
        <v>0</v>
      </c>
      <c r="R504" s="7">
        <v>0.08</v>
      </c>
      <c r="S504" s="7">
        <v>0.54</v>
      </c>
      <c r="T504" s="7">
        <v>0.63</v>
      </c>
      <c r="U504">
        <v>7</v>
      </c>
      <c r="V504">
        <v>7</v>
      </c>
    </row>
    <row r="505" spans="1:22">
      <c r="A505">
        <v>501</v>
      </c>
      <c r="B505" s="4">
        <v>46296.951782407406</v>
      </c>
      <c r="C505" s="5">
        <v>46296</v>
      </c>
      <c r="D505" s="6">
        <v>2.9517824074074075</v>
      </c>
      <c r="E505" s="5">
        <v>46296</v>
      </c>
      <c r="F505" t="s">
        <v>164</v>
      </c>
      <c r="G505" t="s">
        <v>165</v>
      </c>
      <c r="H505" t="s">
        <v>26</v>
      </c>
      <c r="I505" t="s">
        <v>27</v>
      </c>
      <c r="J505" t="s">
        <v>27</v>
      </c>
      <c r="K505" t="s">
        <v>458</v>
      </c>
      <c r="L505" s="2" t="s">
        <v>313</v>
      </c>
      <c r="M505" s="8" t="s">
        <v>314</v>
      </c>
      <c r="N505" s="7">
        <v>1.08</v>
      </c>
      <c r="O505" s="2">
        <v>1</v>
      </c>
      <c r="P505" s="7">
        <v>1.08</v>
      </c>
      <c r="Q505" s="7">
        <v>0</v>
      </c>
      <c r="R505" s="7">
        <v>0.17</v>
      </c>
      <c r="S505" s="7">
        <v>0.43</v>
      </c>
      <c r="T505" s="7">
        <v>1.25</v>
      </c>
      <c r="U505">
        <v>7</v>
      </c>
      <c r="V505">
        <v>7</v>
      </c>
    </row>
    <row r="506" spans="1:22">
      <c r="A506">
        <v>502</v>
      </c>
      <c r="B506" s="4">
        <v>46296.951782407406</v>
      </c>
      <c r="C506" s="5">
        <v>46296</v>
      </c>
      <c r="D506" s="6">
        <v>2.9519212962962964</v>
      </c>
      <c r="E506" s="5">
        <v>46296</v>
      </c>
      <c r="F506" t="s">
        <v>164</v>
      </c>
      <c r="G506" t="s">
        <v>165</v>
      </c>
      <c r="H506" t="s">
        <v>26</v>
      </c>
      <c r="I506" t="s">
        <v>27</v>
      </c>
      <c r="J506" t="s">
        <v>27</v>
      </c>
      <c r="K506" t="s">
        <v>458</v>
      </c>
      <c r="L506" s="2" t="s">
        <v>267</v>
      </c>
      <c r="M506" s="8" t="s">
        <v>268</v>
      </c>
      <c r="N506" s="7">
        <v>0.65</v>
      </c>
      <c r="O506" s="2">
        <v>1</v>
      </c>
      <c r="P506" s="7">
        <v>0.65</v>
      </c>
      <c r="Q506" s="7">
        <v>0</v>
      </c>
      <c r="R506" s="7">
        <v>0.1</v>
      </c>
      <c r="S506" s="7">
        <v>0.63</v>
      </c>
      <c r="T506" s="7">
        <v>0.75</v>
      </c>
      <c r="U506">
        <v>7</v>
      </c>
      <c r="V506">
        <v>7</v>
      </c>
    </row>
    <row r="507" spans="1:22">
      <c r="A507">
        <v>503</v>
      </c>
      <c r="B507" s="4">
        <v>46296.951782407406</v>
      </c>
      <c r="C507" s="5">
        <v>46296</v>
      </c>
      <c r="D507" s="6">
        <v>2.9519444444444445</v>
      </c>
      <c r="E507" s="5">
        <v>46296</v>
      </c>
      <c r="F507" t="s">
        <v>164</v>
      </c>
      <c r="G507" t="s">
        <v>165</v>
      </c>
      <c r="H507" t="s">
        <v>26</v>
      </c>
      <c r="I507" t="s">
        <v>27</v>
      </c>
      <c r="J507" t="s">
        <v>27</v>
      </c>
      <c r="K507" t="s">
        <v>458</v>
      </c>
      <c r="L507" s="2" t="s">
        <v>267</v>
      </c>
      <c r="M507" s="8" t="s">
        <v>268</v>
      </c>
      <c r="N507" s="7">
        <v>0.65</v>
      </c>
      <c r="O507" s="2">
        <v>1</v>
      </c>
      <c r="P507" s="7">
        <v>0.65</v>
      </c>
      <c r="Q507" s="7">
        <v>0</v>
      </c>
      <c r="R507" s="7">
        <v>0.1</v>
      </c>
      <c r="S507" s="7">
        <v>0.63</v>
      </c>
      <c r="T507" s="7">
        <v>0.75</v>
      </c>
      <c r="U507">
        <v>7</v>
      </c>
      <c r="V507">
        <v>7</v>
      </c>
    </row>
    <row r="508" spans="1:22">
      <c r="A508">
        <v>504</v>
      </c>
      <c r="B508" s="4">
        <v>46296.951782407406</v>
      </c>
      <c r="C508" s="5">
        <v>46296</v>
      </c>
      <c r="D508" s="6">
        <v>2.9520023148148149</v>
      </c>
      <c r="E508" s="5">
        <v>46296</v>
      </c>
      <c r="F508" t="s">
        <v>164</v>
      </c>
      <c r="G508" t="s">
        <v>165</v>
      </c>
      <c r="H508" t="s">
        <v>26</v>
      </c>
      <c r="I508" t="s">
        <v>27</v>
      </c>
      <c r="J508" t="s">
        <v>27</v>
      </c>
      <c r="K508" t="s">
        <v>458</v>
      </c>
      <c r="L508" s="2" t="s">
        <v>76</v>
      </c>
      <c r="M508" s="8" t="s">
        <v>77</v>
      </c>
      <c r="N508" s="7">
        <v>0.65</v>
      </c>
      <c r="O508" s="2">
        <v>1</v>
      </c>
      <c r="P508" s="7">
        <v>0.65</v>
      </c>
      <c r="Q508" s="7">
        <v>0</v>
      </c>
      <c r="R508" s="7">
        <v>0.1</v>
      </c>
      <c r="S508" s="7">
        <v>0.63</v>
      </c>
      <c r="T508" s="7">
        <v>0.75</v>
      </c>
      <c r="U508">
        <v>7</v>
      </c>
      <c r="V508">
        <v>7</v>
      </c>
    </row>
    <row r="509" spans="1:22">
      <c r="A509">
        <v>505</v>
      </c>
      <c r="B509" s="4">
        <v>46296.951782407406</v>
      </c>
      <c r="C509" s="5">
        <v>46296</v>
      </c>
      <c r="D509" s="6">
        <v>2.9520370370370372</v>
      </c>
      <c r="E509" s="5">
        <v>46296</v>
      </c>
      <c r="F509" t="s">
        <v>164</v>
      </c>
      <c r="G509" t="s">
        <v>165</v>
      </c>
      <c r="H509" t="s">
        <v>26</v>
      </c>
      <c r="I509" t="s">
        <v>27</v>
      </c>
      <c r="J509" t="s">
        <v>27</v>
      </c>
      <c r="K509" t="s">
        <v>458</v>
      </c>
      <c r="L509" s="2" t="s">
        <v>76</v>
      </c>
      <c r="M509" s="8" t="s">
        <v>77</v>
      </c>
      <c r="N509" s="7">
        <v>0.65</v>
      </c>
      <c r="O509" s="2">
        <v>1</v>
      </c>
      <c r="P509" s="7">
        <v>0.65</v>
      </c>
      <c r="Q509" s="7">
        <v>0</v>
      </c>
      <c r="R509" s="7">
        <v>0.1</v>
      </c>
      <c r="S509" s="7">
        <v>0.63</v>
      </c>
      <c r="T509" s="7">
        <v>0.75</v>
      </c>
      <c r="U509">
        <v>7</v>
      </c>
      <c r="V509">
        <v>7</v>
      </c>
    </row>
    <row r="510" spans="1:22">
      <c r="A510">
        <v>506</v>
      </c>
      <c r="B510" s="4">
        <v>46296.951782407406</v>
      </c>
      <c r="C510" s="5">
        <v>46296</v>
      </c>
      <c r="D510" s="6">
        <v>2.9521296296296295</v>
      </c>
      <c r="E510" s="5">
        <v>46296</v>
      </c>
      <c r="F510" t="s">
        <v>164</v>
      </c>
      <c r="G510" t="s">
        <v>165</v>
      </c>
      <c r="H510" t="s">
        <v>26</v>
      </c>
      <c r="I510" t="s">
        <v>27</v>
      </c>
      <c r="J510" t="s">
        <v>27</v>
      </c>
      <c r="K510" t="s">
        <v>458</v>
      </c>
      <c r="L510" s="2" t="s">
        <v>445</v>
      </c>
      <c r="M510" s="8" t="s">
        <v>446</v>
      </c>
      <c r="N510" s="7">
        <v>1.9</v>
      </c>
      <c r="O510" s="2">
        <v>1</v>
      </c>
      <c r="P510" s="7">
        <v>1.9</v>
      </c>
      <c r="Q510" s="7">
        <v>0</v>
      </c>
      <c r="R510" s="7">
        <v>0.28999999999999998</v>
      </c>
      <c r="S510" s="7">
        <v>0.5</v>
      </c>
      <c r="T510" s="7">
        <v>2.19</v>
      </c>
      <c r="U510">
        <v>7</v>
      </c>
      <c r="V510">
        <v>7</v>
      </c>
    </row>
    <row r="511" spans="1:22">
      <c r="A511">
        <v>507</v>
      </c>
      <c r="B511" s="4">
        <v>46296.951782407406</v>
      </c>
      <c r="C511" s="5">
        <v>46296</v>
      </c>
      <c r="D511" s="6">
        <v>2.9521643518518519</v>
      </c>
      <c r="E511" s="5">
        <v>46296</v>
      </c>
      <c r="F511" t="s">
        <v>164</v>
      </c>
      <c r="G511" t="s">
        <v>165</v>
      </c>
      <c r="H511" t="s">
        <v>26</v>
      </c>
      <c r="I511" t="s">
        <v>27</v>
      </c>
      <c r="J511" t="s">
        <v>27</v>
      </c>
      <c r="K511" t="s">
        <v>458</v>
      </c>
      <c r="L511" s="2" t="s">
        <v>445</v>
      </c>
      <c r="M511" s="8" t="s">
        <v>446</v>
      </c>
      <c r="N511" s="7">
        <v>1.9</v>
      </c>
      <c r="O511" s="2">
        <v>1</v>
      </c>
      <c r="P511" s="7">
        <v>1.9</v>
      </c>
      <c r="Q511" s="7">
        <v>0</v>
      </c>
      <c r="R511" s="7">
        <v>0.28999999999999998</v>
      </c>
      <c r="S511" s="7">
        <v>0.5</v>
      </c>
      <c r="T511" s="7">
        <v>2.19</v>
      </c>
      <c r="U511">
        <v>7</v>
      </c>
      <c r="V511">
        <v>7</v>
      </c>
    </row>
    <row r="512" spans="1:22">
      <c r="A512">
        <v>508</v>
      </c>
      <c r="B512" s="4">
        <v>46296.951782407406</v>
      </c>
      <c r="C512" s="5">
        <v>46296</v>
      </c>
      <c r="D512" s="6">
        <v>2.9522685185185185</v>
      </c>
      <c r="E512" s="5">
        <v>46296</v>
      </c>
      <c r="F512" t="s">
        <v>164</v>
      </c>
      <c r="G512" t="s">
        <v>165</v>
      </c>
      <c r="H512" t="s">
        <v>26</v>
      </c>
      <c r="I512" t="s">
        <v>27</v>
      </c>
      <c r="J512" t="s">
        <v>27</v>
      </c>
      <c r="K512" t="s">
        <v>458</v>
      </c>
      <c r="L512" s="2" t="s">
        <v>35</v>
      </c>
      <c r="M512" s="8" t="s">
        <v>36</v>
      </c>
      <c r="N512" s="7">
        <v>0.81</v>
      </c>
      <c r="O512" s="2">
        <v>1</v>
      </c>
      <c r="P512" s="7">
        <v>0.81</v>
      </c>
      <c r="Q512" s="7">
        <v>0</v>
      </c>
      <c r="R512" s="7">
        <v>0.13</v>
      </c>
      <c r="S512" s="7">
        <v>0.38</v>
      </c>
      <c r="T512" s="7">
        <v>0.94</v>
      </c>
      <c r="U512">
        <v>7</v>
      </c>
      <c r="V512">
        <v>7</v>
      </c>
    </row>
    <row r="513" spans="1:22">
      <c r="A513">
        <v>509</v>
      </c>
      <c r="B513" s="4">
        <v>46296.951782407406</v>
      </c>
      <c r="C513" s="5">
        <v>46296</v>
      </c>
      <c r="D513" s="6">
        <v>2.9523032407407408</v>
      </c>
      <c r="E513" s="5">
        <v>46296</v>
      </c>
      <c r="F513" t="s">
        <v>164</v>
      </c>
      <c r="G513" t="s">
        <v>165</v>
      </c>
      <c r="H513" t="s">
        <v>26</v>
      </c>
      <c r="I513" t="s">
        <v>27</v>
      </c>
      <c r="J513" t="s">
        <v>27</v>
      </c>
      <c r="K513" t="s">
        <v>458</v>
      </c>
      <c r="L513" s="2" t="s">
        <v>35</v>
      </c>
      <c r="M513" s="8" t="s">
        <v>36</v>
      </c>
      <c r="N513" s="7">
        <v>0.81</v>
      </c>
      <c r="O513" s="2">
        <v>1</v>
      </c>
      <c r="P513" s="7">
        <v>0.81</v>
      </c>
      <c r="Q513" s="7">
        <v>0</v>
      </c>
      <c r="R513" s="7">
        <v>0.13</v>
      </c>
      <c r="S513" s="7">
        <v>0.38</v>
      </c>
      <c r="T513" s="7">
        <v>0.94</v>
      </c>
      <c r="U513">
        <v>7</v>
      </c>
      <c r="V513">
        <v>7</v>
      </c>
    </row>
    <row r="514" spans="1:22">
      <c r="A514">
        <v>510</v>
      </c>
      <c r="B514" s="4">
        <v>46296.951782407406</v>
      </c>
      <c r="C514" s="5">
        <v>46296</v>
      </c>
      <c r="D514" s="6">
        <v>2.9523379629629631</v>
      </c>
      <c r="E514" s="5">
        <v>46296</v>
      </c>
      <c r="F514" t="s">
        <v>164</v>
      </c>
      <c r="G514" t="s">
        <v>165</v>
      </c>
      <c r="H514" t="s">
        <v>26</v>
      </c>
      <c r="I514" t="s">
        <v>27</v>
      </c>
      <c r="J514" t="s">
        <v>27</v>
      </c>
      <c r="K514" t="s">
        <v>458</v>
      </c>
      <c r="L514" s="2" t="s">
        <v>35</v>
      </c>
      <c r="M514" s="8" t="s">
        <v>36</v>
      </c>
      <c r="N514" s="7">
        <v>0.81</v>
      </c>
      <c r="O514" s="2">
        <v>1</v>
      </c>
      <c r="P514" s="7">
        <v>0.81</v>
      </c>
      <c r="Q514" s="7">
        <v>0</v>
      </c>
      <c r="R514" s="7">
        <v>0.13</v>
      </c>
      <c r="S514" s="7">
        <v>0.38</v>
      </c>
      <c r="T514" s="7">
        <v>0.94</v>
      </c>
      <c r="U514">
        <v>7</v>
      </c>
      <c r="V514">
        <v>7</v>
      </c>
    </row>
    <row r="515" spans="1:22">
      <c r="A515">
        <v>511</v>
      </c>
      <c r="B515" s="4">
        <v>46296.951782407406</v>
      </c>
      <c r="C515" s="5">
        <v>46296</v>
      </c>
      <c r="D515" s="6">
        <v>2.9525231481481482</v>
      </c>
      <c r="E515" s="5">
        <v>46296</v>
      </c>
      <c r="F515" t="s">
        <v>164</v>
      </c>
      <c r="G515" t="s">
        <v>165</v>
      </c>
      <c r="H515" t="s">
        <v>26</v>
      </c>
      <c r="I515" t="s">
        <v>27</v>
      </c>
      <c r="J515" t="s">
        <v>27</v>
      </c>
      <c r="K515" t="s">
        <v>458</v>
      </c>
      <c r="L515" s="2" t="s">
        <v>98</v>
      </c>
      <c r="M515" s="8" t="s">
        <v>99</v>
      </c>
      <c r="N515" s="7">
        <v>0.81</v>
      </c>
      <c r="O515" s="2">
        <v>2</v>
      </c>
      <c r="P515" s="7">
        <v>1.62</v>
      </c>
      <c r="Q515" s="7">
        <v>0</v>
      </c>
      <c r="R515" s="7">
        <v>0.25</v>
      </c>
      <c r="S515" s="7">
        <v>1.57</v>
      </c>
      <c r="T515" s="7">
        <v>1.87</v>
      </c>
      <c r="U515">
        <v>7</v>
      </c>
      <c r="V515">
        <v>7</v>
      </c>
    </row>
    <row r="516" spans="1:22">
      <c r="A516">
        <v>512</v>
      </c>
      <c r="B516" s="4">
        <v>46296.951782407406</v>
      </c>
      <c r="C516" s="5">
        <v>46296</v>
      </c>
      <c r="D516" s="6">
        <v>2.9526620370370371</v>
      </c>
      <c r="E516" s="5">
        <v>46296</v>
      </c>
      <c r="F516" t="s">
        <v>164</v>
      </c>
      <c r="G516" t="s">
        <v>165</v>
      </c>
      <c r="H516" t="s">
        <v>26</v>
      </c>
      <c r="I516" t="s">
        <v>27</v>
      </c>
      <c r="J516" t="s">
        <v>27</v>
      </c>
      <c r="K516" t="s">
        <v>458</v>
      </c>
      <c r="L516" s="2" t="s">
        <v>88</v>
      </c>
      <c r="M516" s="8" t="s">
        <v>89</v>
      </c>
      <c r="N516" s="7">
        <v>0.81</v>
      </c>
      <c r="O516" s="2">
        <v>3</v>
      </c>
      <c r="P516" s="7">
        <v>2.4300000000000002</v>
      </c>
      <c r="Q516" s="7">
        <v>0</v>
      </c>
      <c r="R516" s="7">
        <v>0.38</v>
      </c>
      <c r="S516" s="7">
        <v>2.36</v>
      </c>
      <c r="T516" s="7">
        <v>2.81</v>
      </c>
      <c r="U516">
        <v>7</v>
      </c>
      <c r="V516">
        <v>7</v>
      </c>
    </row>
    <row r="517" spans="1:22">
      <c r="A517">
        <v>513</v>
      </c>
      <c r="B517" s="4">
        <v>46296.951782407406</v>
      </c>
      <c r="C517" s="5">
        <v>46296</v>
      </c>
      <c r="D517" s="6">
        <v>2.9527662037037037</v>
      </c>
      <c r="E517" s="5">
        <v>46296</v>
      </c>
      <c r="F517" t="s">
        <v>164</v>
      </c>
      <c r="G517" t="s">
        <v>165</v>
      </c>
      <c r="H517" t="s">
        <v>26</v>
      </c>
      <c r="I517" t="s">
        <v>27</v>
      </c>
      <c r="J517" t="s">
        <v>27</v>
      </c>
      <c r="K517" t="s">
        <v>458</v>
      </c>
      <c r="L517" s="2" t="s">
        <v>47</v>
      </c>
      <c r="M517" s="8" t="s">
        <v>48</v>
      </c>
      <c r="N517" s="7">
        <v>0.05</v>
      </c>
      <c r="O517" s="2">
        <v>20</v>
      </c>
      <c r="P517" s="7">
        <v>1</v>
      </c>
      <c r="Q517" s="7">
        <v>0</v>
      </c>
      <c r="R517" s="7">
        <v>0.16</v>
      </c>
      <c r="S517" s="7">
        <v>0.46</v>
      </c>
      <c r="T517" s="7">
        <v>1.1599999999999999</v>
      </c>
      <c r="U517">
        <v>7</v>
      </c>
      <c r="V517">
        <v>7</v>
      </c>
    </row>
    <row r="518" spans="1:22">
      <c r="A518">
        <v>514</v>
      </c>
      <c r="B518" s="4">
        <v>46296.956469907411</v>
      </c>
      <c r="C518" s="5">
        <v>46296</v>
      </c>
      <c r="D518" s="6">
        <v>2.9564583333333334</v>
      </c>
      <c r="E518" s="5">
        <v>46296</v>
      </c>
      <c r="F518" t="s">
        <v>164</v>
      </c>
      <c r="G518" t="s">
        <v>165</v>
      </c>
      <c r="H518" t="s">
        <v>26</v>
      </c>
      <c r="I518" t="s">
        <v>27</v>
      </c>
      <c r="J518" t="s">
        <v>27</v>
      </c>
      <c r="K518" t="s">
        <v>459</v>
      </c>
      <c r="L518" s="2" t="s">
        <v>71</v>
      </c>
      <c r="M518" s="8" t="s">
        <v>72</v>
      </c>
      <c r="N518" s="7">
        <v>1.63</v>
      </c>
      <c r="O518" s="2">
        <v>1</v>
      </c>
      <c r="P518" s="7">
        <v>1.63</v>
      </c>
      <c r="Q518" s="7">
        <v>0</v>
      </c>
      <c r="R518" s="7">
        <v>0.25</v>
      </c>
      <c r="S518" s="7">
        <v>1.57</v>
      </c>
      <c r="T518" s="7">
        <v>1.88</v>
      </c>
      <c r="U518">
        <v>7</v>
      </c>
      <c r="V518">
        <v>7</v>
      </c>
    </row>
    <row r="519" spans="1:22">
      <c r="A519">
        <v>515</v>
      </c>
      <c r="B519" s="4">
        <v>46296.956469907411</v>
      </c>
      <c r="C519" s="5">
        <v>46296</v>
      </c>
      <c r="D519" s="6">
        <v>2.9567361111111112</v>
      </c>
      <c r="E519" s="5">
        <v>46296</v>
      </c>
      <c r="F519" t="s">
        <v>164</v>
      </c>
      <c r="G519" t="s">
        <v>165</v>
      </c>
      <c r="H519" t="s">
        <v>26</v>
      </c>
      <c r="I519" t="s">
        <v>27</v>
      </c>
      <c r="J519" t="s">
        <v>27</v>
      </c>
      <c r="K519" t="s">
        <v>459</v>
      </c>
      <c r="L519" s="2" t="s">
        <v>224</v>
      </c>
      <c r="M519" s="8" t="s">
        <v>225</v>
      </c>
      <c r="N519" s="7">
        <v>0.81</v>
      </c>
      <c r="O519" s="2">
        <v>1</v>
      </c>
      <c r="P519" s="7">
        <v>0.81</v>
      </c>
      <c r="Q519" s="7">
        <v>0</v>
      </c>
      <c r="R519" s="7">
        <v>0.13</v>
      </c>
      <c r="S519" s="7">
        <v>0.79</v>
      </c>
      <c r="T519" s="7">
        <v>0.94</v>
      </c>
      <c r="U519">
        <v>7</v>
      </c>
      <c r="V519">
        <v>7</v>
      </c>
    </row>
    <row r="520" spans="1:22">
      <c r="A520">
        <v>516</v>
      </c>
      <c r="B520" s="4">
        <v>46296.960370370369</v>
      </c>
      <c r="C520" s="5">
        <v>46296</v>
      </c>
      <c r="D520" s="6">
        <v>2.9603587962962963</v>
      </c>
      <c r="E520" s="5">
        <v>46296</v>
      </c>
      <c r="F520" t="s">
        <v>164</v>
      </c>
      <c r="G520" t="s">
        <v>165</v>
      </c>
      <c r="H520" t="s">
        <v>26</v>
      </c>
      <c r="I520" t="s">
        <v>27</v>
      </c>
      <c r="J520" t="s">
        <v>27</v>
      </c>
      <c r="K520" t="s">
        <v>460</v>
      </c>
      <c r="L520" s="2" t="s">
        <v>88</v>
      </c>
      <c r="M520" s="8" t="s">
        <v>89</v>
      </c>
      <c r="N520" s="7">
        <v>0.81</v>
      </c>
      <c r="O520" s="2">
        <v>4</v>
      </c>
      <c r="P520" s="7">
        <v>3.24</v>
      </c>
      <c r="Q520" s="7">
        <v>0</v>
      </c>
      <c r="R520" s="7">
        <v>0.5</v>
      </c>
      <c r="S520" s="7">
        <v>3.15</v>
      </c>
      <c r="T520" s="7">
        <v>3.74</v>
      </c>
      <c r="U520">
        <v>7</v>
      </c>
      <c r="V520">
        <v>7</v>
      </c>
    </row>
    <row r="521" spans="1:22">
      <c r="A521">
        <v>517</v>
      </c>
      <c r="B521" s="4">
        <v>46296.960370370369</v>
      </c>
      <c r="C521" s="5">
        <v>46296</v>
      </c>
      <c r="D521" s="6">
        <v>2.960451388888889</v>
      </c>
      <c r="E521" s="5">
        <v>46296</v>
      </c>
      <c r="F521" t="s">
        <v>164</v>
      </c>
      <c r="G521" t="s">
        <v>165</v>
      </c>
      <c r="H521" t="s">
        <v>26</v>
      </c>
      <c r="I521" t="s">
        <v>27</v>
      </c>
      <c r="J521" t="s">
        <v>27</v>
      </c>
      <c r="K521" t="s">
        <v>460</v>
      </c>
      <c r="L521" s="2" t="s">
        <v>100</v>
      </c>
      <c r="M521" s="8" t="s">
        <v>101</v>
      </c>
      <c r="N521" s="7">
        <v>0.81</v>
      </c>
      <c r="O521" s="2">
        <v>1</v>
      </c>
      <c r="P521" s="7">
        <v>0.81</v>
      </c>
      <c r="Q521" s="7">
        <v>0</v>
      </c>
      <c r="R521" s="7">
        <v>0.13</v>
      </c>
      <c r="S521" s="7">
        <v>0.39</v>
      </c>
      <c r="T521" s="7">
        <v>0.94</v>
      </c>
      <c r="U521">
        <v>7</v>
      </c>
      <c r="V521">
        <v>7</v>
      </c>
    </row>
    <row r="522" spans="1:22">
      <c r="A522">
        <v>518</v>
      </c>
      <c r="B522" s="4">
        <v>46296.960752314815</v>
      </c>
      <c r="C522" s="5">
        <v>46296</v>
      </c>
      <c r="D522" s="6">
        <v>2.9607523148148149</v>
      </c>
      <c r="E522" s="5">
        <v>46296</v>
      </c>
      <c r="F522" t="s">
        <v>164</v>
      </c>
      <c r="G522" t="s">
        <v>165</v>
      </c>
      <c r="H522" t="s">
        <v>26</v>
      </c>
      <c r="I522" t="s">
        <v>27</v>
      </c>
      <c r="J522" t="s">
        <v>27</v>
      </c>
      <c r="K522" t="s">
        <v>461</v>
      </c>
      <c r="L522" s="2" t="s">
        <v>109</v>
      </c>
      <c r="M522" s="8" t="s">
        <v>110</v>
      </c>
      <c r="N522" s="7">
        <v>1.08</v>
      </c>
      <c r="O522" s="2">
        <v>1</v>
      </c>
      <c r="P522" s="7">
        <v>1.08</v>
      </c>
      <c r="Q522" s="7">
        <v>0</v>
      </c>
      <c r="R522" s="7">
        <v>0.17</v>
      </c>
      <c r="S522" s="7">
        <v>0.26</v>
      </c>
      <c r="T522" s="7">
        <v>1.25</v>
      </c>
      <c r="U522">
        <v>7</v>
      </c>
      <c r="V522">
        <v>7</v>
      </c>
    </row>
    <row r="523" spans="1:22">
      <c r="A523">
        <v>519</v>
      </c>
      <c r="B523" s="4">
        <v>46296.960752314815</v>
      </c>
      <c r="C523" s="5">
        <v>46296</v>
      </c>
      <c r="D523" s="6">
        <v>2.9608912037037038</v>
      </c>
      <c r="E523" s="5">
        <v>46296</v>
      </c>
      <c r="F523" t="s">
        <v>164</v>
      </c>
      <c r="G523" t="s">
        <v>165</v>
      </c>
      <c r="H523" t="s">
        <v>26</v>
      </c>
      <c r="I523" t="s">
        <v>27</v>
      </c>
      <c r="J523" t="s">
        <v>27</v>
      </c>
      <c r="K523" t="s">
        <v>461</v>
      </c>
      <c r="L523" s="2" t="s">
        <v>267</v>
      </c>
      <c r="M523" s="8" t="s">
        <v>268</v>
      </c>
      <c r="N523" s="7">
        <v>0.65</v>
      </c>
      <c r="O523" s="2">
        <v>1</v>
      </c>
      <c r="P523" s="7">
        <v>0.65</v>
      </c>
      <c r="Q523" s="7">
        <v>0</v>
      </c>
      <c r="R523" s="7">
        <v>0.1</v>
      </c>
      <c r="S523" s="7">
        <v>0.63</v>
      </c>
      <c r="T523" s="7">
        <v>0.75</v>
      </c>
      <c r="U523">
        <v>7</v>
      </c>
      <c r="V523">
        <v>7</v>
      </c>
    </row>
    <row r="524" spans="1:22">
      <c r="A524">
        <v>520</v>
      </c>
      <c r="B524" s="4">
        <v>46296.961724537039</v>
      </c>
      <c r="C524" s="5">
        <v>46296</v>
      </c>
      <c r="D524" s="6">
        <v>2.9617245370370369</v>
      </c>
      <c r="E524" s="5">
        <v>46296</v>
      </c>
      <c r="F524" t="s">
        <v>164</v>
      </c>
      <c r="G524" t="s">
        <v>165</v>
      </c>
      <c r="H524" t="s">
        <v>26</v>
      </c>
      <c r="I524" t="s">
        <v>27</v>
      </c>
      <c r="J524" t="s">
        <v>27</v>
      </c>
      <c r="K524" t="s">
        <v>462</v>
      </c>
      <c r="L524" s="2" t="s">
        <v>84</v>
      </c>
      <c r="M524" s="8" t="s">
        <v>85</v>
      </c>
      <c r="N524" s="7">
        <v>1.35</v>
      </c>
      <c r="O524" s="2">
        <v>1</v>
      </c>
      <c r="P524" s="7">
        <v>1.35</v>
      </c>
      <c r="Q524" s="7">
        <v>0</v>
      </c>
      <c r="R524" s="7">
        <v>0.21</v>
      </c>
      <c r="S524" s="7">
        <v>1.3</v>
      </c>
      <c r="T524" s="7">
        <v>1.56</v>
      </c>
      <c r="U524">
        <v>7</v>
      </c>
      <c r="V524">
        <v>7</v>
      </c>
    </row>
    <row r="525" spans="1:22">
      <c r="A525">
        <v>521</v>
      </c>
      <c r="B525" s="4">
        <v>46296.961724537039</v>
      </c>
      <c r="C525" s="5">
        <v>46296</v>
      </c>
      <c r="D525" s="6">
        <v>2.962037037037037</v>
      </c>
      <c r="E525" s="5">
        <v>46296</v>
      </c>
      <c r="F525" t="s">
        <v>164</v>
      </c>
      <c r="G525" t="s">
        <v>165</v>
      </c>
      <c r="H525" t="s">
        <v>26</v>
      </c>
      <c r="I525" t="s">
        <v>27</v>
      </c>
      <c r="J525" t="s">
        <v>27</v>
      </c>
      <c r="K525" t="s">
        <v>462</v>
      </c>
      <c r="L525" s="2" t="s">
        <v>221</v>
      </c>
      <c r="M525" s="8" t="s">
        <v>222</v>
      </c>
      <c r="N525" s="7">
        <v>0.81</v>
      </c>
      <c r="O525" s="2">
        <v>1</v>
      </c>
      <c r="P525" s="7">
        <v>0.81</v>
      </c>
      <c r="Q525" s="7">
        <v>0</v>
      </c>
      <c r="R525" s="7">
        <v>0.13</v>
      </c>
      <c r="S525" s="7">
        <v>0.78</v>
      </c>
      <c r="T525" s="7">
        <v>0.94</v>
      </c>
      <c r="U525">
        <v>7</v>
      </c>
      <c r="V525">
        <v>7</v>
      </c>
    </row>
    <row r="526" spans="1:22">
      <c r="A526">
        <v>522</v>
      </c>
      <c r="B526" s="4">
        <v>46296.962905092594</v>
      </c>
      <c r="C526" s="5">
        <v>46296</v>
      </c>
      <c r="D526" s="6">
        <v>2.9629050925925924</v>
      </c>
      <c r="E526" s="5">
        <v>46296</v>
      </c>
      <c r="F526" t="s">
        <v>164</v>
      </c>
      <c r="G526" t="s">
        <v>165</v>
      </c>
      <c r="H526" t="s">
        <v>26</v>
      </c>
      <c r="I526" t="s">
        <v>27</v>
      </c>
      <c r="J526" t="s">
        <v>27</v>
      </c>
      <c r="K526" t="s">
        <v>463</v>
      </c>
      <c r="L526" s="2" t="s">
        <v>445</v>
      </c>
      <c r="M526" s="8" t="s">
        <v>446</v>
      </c>
      <c r="N526" s="7">
        <v>1.9</v>
      </c>
      <c r="O526" s="2">
        <v>4</v>
      </c>
      <c r="P526" s="7">
        <v>7.6</v>
      </c>
      <c r="Q526" s="7">
        <v>0</v>
      </c>
      <c r="R526" s="7">
        <v>1.18</v>
      </c>
      <c r="S526" s="7">
        <v>2.02</v>
      </c>
      <c r="T526" s="7">
        <v>8.7799999999999994</v>
      </c>
      <c r="U526">
        <v>7</v>
      </c>
      <c r="V526">
        <v>7</v>
      </c>
    </row>
    <row r="527" spans="1:22">
      <c r="A527">
        <v>523</v>
      </c>
      <c r="B527" s="4">
        <v>46296.962905092594</v>
      </c>
      <c r="C527" s="5">
        <v>46296</v>
      </c>
      <c r="D527" s="6">
        <v>2.963113425925926</v>
      </c>
      <c r="E527" s="5">
        <v>46296</v>
      </c>
      <c r="F527" t="s">
        <v>164</v>
      </c>
      <c r="G527" t="s">
        <v>165</v>
      </c>
      <c r="H527" t="s">
        <v>26</v>
      </c>
      <c r="I527" t="s">
        <v>27</v>
      </c>
      <c r="J527" t="s">
        <v>27</v>
      </c>
      <c r="K527" t="s">
        <v>463</v>
      </c>
      <c r="L527" s="2" t="s">
        <v>96</v>
      </c>
      <c r="M527" s="8" t="s">
        <v>97</v>
      </c>
      <c r="N527" s="7">
        <v>1.63</v>
      </c>
      <c r="O527" s="2">
        <v>2</v>
      </c>
      <c r="P527" s="7">
        <v>3.26</v>
      </c>
      <c r="Q527" s="7">
        <v>0</v>
      </c>
      <c r="R527" s="7">
        <v>0.5</v>
      </c>
      <c r="S527" s="7">
        <v>3.13</v>
      </c>
      <c r="T527" s="7">
        <v>3.76</v>
      </c>
      <c r="U527">
        <v>7</v>
      </c>
      <c r="V527">
        <v>7</v>
      </c>
    </row>
    <row r="528" spans="1:22">
      <c r="A528">
        <v>524</v>
      </c>
      <c r="B528" s="4">
        <v>46296.962905092594</v>
      </c>
      <c r="C528" s="5">
        <v>46296</v>
      </c>
      <c r="D528" s="6">
        <v>2.9732291666666666</v>
      </c>
      <c r="E528" s="5">
        <v>46296</v>
      </c>
      <c r="F528" t="s">
        <v>164</v>
      </c>
      <c r="G528" t="s">
        <v>165</v>
      </c>
      <c r="H528" t="s">
        <v>26</v>
      </c>
      <c r="I528" t="s">
        <v>27</v>
      </c>
      <c r="J528" t="s">
        <v>27</v>
      </c>
      <c r="K528" t="s">
        <v>463</v>
      </c>
      <c r="L528" s="2" t="s">
        <v>429</v>
      </c>
      <c r="M528" s="8" t="s">
        <v>430</v>
      </c>
      <c r="N528" s="7">
        <v>2.16</v>
      </c>
      <c r="O528" s="2">
        <v>1</v>
      </c>
      <c r="P528" s="7">
        <v>2.16</v>
      </c>
      <c r="Q528" s="7">
        <v>0</v>
      </c>
      <c r="R528" s="7">
        <v>0.34</v>
      </c>
      <c r="S528" s="7">
        <v>2.09</v>
      </c>
      <c r="T528" s="7">
        <v>2.5</v>
      </c>
      <c r="U528">
        <v>7</v>
      </c>
      <c r="V528">
        <v>7</v>
      </c>
    </row>
    <row r="529" spans="1:22">
      <c r="A529">
        <v>525</v>
      </c>
      <c r="B529" s="4">
        <v>46296.962905092594</v>
      </c>
      <c r="C529" s="5">
        <v>46296</v>
      </c>
      <c r="D529" s="6">
        <v>2.9734027777777778</v>
      </c>
      <c r="E529" s="5">
        <v>46296</v>
      </c>
      <c r="F529" t="s">
        <v>164</v>
      </c>
      <c r="G529" t="s">
        <v>165</v>
      </c>
      <c r="H529" t="s">
        <v>26</v>
      </c>
      <c r="I529" t="s">
        <v>27</v>
      </c>
      <c r="J529" t="s">
        <v>27</v>
      </c>
      <c r="K529" t="s">
        <v>463</v>
      </c>
      <c r="L529" s="2" t="s">
        <v>224</v>
      </c>
      <c r="M529" s="8" t="s">
        <v>225</v>
      </c>
      <c r="N529" s="7">
        <v>0.81</v>
      </c>
      <c r="O529" s="2">
        <v>1</v>
      </c>
      <c r="P529" s="7">
        <v>0.81</v>
      </c>
      <c r="Q529" s="7">
        <v>0</v>
      </c>
      <c r="R529" s="7">
        <v>0.13</v>
      </c>
      <c r="S529" s="7">
        <v>0.79</v>
      </c>
      <c r="T529" s="7">
        <v>0.94</v>
      </c>
      <c r="U529">
        <v>7</v>
      </c>
      <c r="V529">
        <v>7</v>
      </c>
    </row>
    <row r="530" spans="1:22">
      <c r="A530">
        <v>526</v>
      </c>
      <c r="B530" s="4">
        <v>46296.962905092594</v>
      </c>
      <c r="C530" s="5">
        <v>46296</v>
      </c>
      <c r="D530" s="6">
        <v>2.9734953703703701</v>
      </c>
      <c r="E530" s="5">
        <v>46296</v>
      </c>
      <c r="F530" t="s">
        <v>164</v>
      </c>
      <c r="G530" t="s">
        <v>165</v>
      </c>
      <c r="H530" t="s">
        <v>26</v>
      </c>
      <c r="I530" t="s">
        <v>27</v>
      </c>
      <c r="J530" t="s">
        <v>27</v>
      </c>
      <c r="K530" t="s">
        <v>463</v>
      </c>
      <c r="L530" s="2" t="s">
        <v>143</v>
      </c>
      <c r="M530" s="8" t="s">
        <v>144</v>
      </c>
      <c r="N530" s="7">
        <v>1.25</v>
      </c>
      <c r="O530" s="2">
        <v>1</v>
      </c>
      <c r="P530" s="7">
        <v>1.25</v>
      </c>
      <c r="Q530" s="7">
        <v>0</v>
      </c>
      <c r="R530" s="7">
        <v>0</v>
      </c>
      <c r="S530" s="7">
        <v>1.21</v>
      </c>
      <c r="T530" s="7">
        <v>1.25</v>
      </c>
      <c r="U530">
        <v>7</v>
      </c>
      <c r="V530">
        <v>7</v>
      </c>
    </row>
    <row r="531" spans="1:22">
      <c r="A531">
        <v>527</v>
      </c>
      <c r="B531" s="4">
        <v>46296.962905092594</v>
      </c>
      <c r="C531" s="5">
        <v>46296</v>
      </c>
      <c r="D531" s="6">
        <v>2.9736226851851852</v>
      </c>
      <c r="E531" s="5">
        <v>46296</v>
      </c>
      <c r="F531" t="s">
        <v>164</v>
      </c>
      <c r="G531" t="s">
        <v>165</v>
      </c>
      <c r="H531" t="s">
        <v>26</v>
      </c>
      <c r="I531" t="s">
        <v>27</v>
      </c>
      <c r="J531" t="s">
        <v>27</v>
      </c>
      <c r="K531" t="s">
        <v>463</v>
      </c>
      <c r="L531" s="2" t="s">
        <v>205</v>
      </c>
      <c r="M531" s="8" t="s">
        <v>206</v>
      </c>
      <c r="N531" s="7">
        <v>0.55000000000000004</v>
      </c>
      <c r="O531" s="2">
        <v>1</v>
      </c>
      <c r="P531" s="7">
        <v>0.55000000000000004</v>
      </c>
      <c r="Q531" s="7">
        <v>0</v>
      </c>
      <c r="R531" s="7">
        <v>0.08</v>
      </c>
      <c r="S531" s="7">
        <v>0.54</v>
      </c>
      <c r="T531" s="7">
        <v>0.63</v>
      </c>
      <c r="U531">
        <v>7</v>
      </c>
      <c r="V531">
        <v>7</v>
      </c>
    </row>
    <row r="532" spans="1:22">
      <c r="A532">
        <v>528</v>
      </c>
      <c r="B532" s="4">
        <v>46297.037152777775</v>
      </c>
      <c r="C532" s="5">
        <v>46296</v>
      </c>
      <c r="D532" s="6">
        <v>2.0371527777777776</v>
      </c>
      <c r="E532" s="5">
        <v>46296</v>
      </c>
      <c r="F532" t="s">
        <v>164</v>
      </c>
      <c r="G532" t="s">
        <v>165</v>
      </c>
      <c r="H532" t="s">
        <v>26</v>
      </c>
      <c r="I532" t="s">
        <v>27</v>
      </c>
      <c r="J532" t="s">
        <v>27</v>
      </c>
      <c r="K532" t="s">
        <v>464</v>
      </c>
      <c r="L532" s="3" t="s">
        <v>231</v>
      </c>
      <c r="M532" s="8" t="s">
        <v>232</v>
      </c>
      <c r="N532" s="7">
        <v>0.55000000000000004</v>
      </c>
      <c r="O532" s="2">
        <v>1</v>
      </c>
      <c r="P532" s="7">
        <v>0.55000000000000004</v>
      </c>
      <c r="Q532" s="7">
        <v>0</v>
      </c>
      <c r="R532" s="7">
        <v>0.08</v>
      </c>
      <c r="S532" s="7">
        <v>0.54</v>
      </c>
      <c r="T532" s="7">
        <v>0.63</v>
      </c>
      <c r="U532">
        <v>7</v>
      </c>
      <c r="V532">
        <v>7</v>
      </c>
    </row>
    <row r="533" spans="1:22">
      <c r="A533">
        <v>529</v>
      </c>
      <c r="B533" s="4">
        <v>46297.037152777775</v>
      </c>
      <c r="C533" s="5">
        <v>46296</v>
      </c>
      <c r="D533" s="6">
        <v>2.0372569444444446</v>
      </c>
      <c r="E533" s="5">
        <v>46296</v>
      </c>
      <c r="F533" t="s">
        <v>164</v>
      </c>
      <c r="G533" t="s">
        <v>165</v>
      </c>
      <c r="H533" t="s">
        <v>26</v>
      </c>
      <c r="I533" t="s">
        <v>27</v>
      </c>
      <c r="J533" t="s">
        <v>27</v>
      </c>
      <c r="K533" t="s">
        <v>464</v>
      </c>
      <c r="L533" s="3" t="s">
        <v>231</v>
      </c>
      <c r="M533" s="8" t="s">
        <v>232</v>
      </c>
      <c r="N533" s="7">
        <v>0.55000000000000004</v>
      </c>
      <c r="O533" s="2">
        <v>1</v>
      </c>
      <c r="P533" s="7">
        <v>0.55000000000000004</v>
      </c>
      <c r="Q533" s="7">
        <v>0</v>
      </c>
      <c r="R533" s="7">
        <v>0.08</v>
      </c>
      <c r="S533" s="7">
        <v>0.54</v>
      </c>
      <c r="T533" s="7">
        <v>0.63</v>
      </c>
      <c r="U533">
        <v>7</v>
      </c>
      <c r="V533">
        <v>7</v>
      </c>
    </row>
    <row r="534" spans="1:22">
      <c r="A534">
        <v>530</v>
      </c>
      <c r="B534" s="4">
        <v>46297.037152777775</v>
      </c>
      <c r="C534" s="5">
        <v>46296</v>
      </c>
      <c r="D534" s="6">
        <v>2.0373958333333335</v>
      </c>
      <c r="E534" s="5">
        <v>46296</v>
      </c>
      <c r="F534" t="s">
        <v>164</v>
      </c>
      <c r="G534" t="s">
        <v>165</v>
      </c>
      <c r="H534" t="s">
        <v>26</v>
      </c>
      <c r="I534" t="s">
        <v>27</v>
      </c>
      <c r="J534" t="s">
        <v>27</v>
      </c>
      <c r="K534" t="s">
        <v>464</v>
      </c>
      <c r="L534" s="2" t="s">
        <v>331</v>
      </c>
      <c r="M534" s="8" t="s">
        <v>332</v>
      </c>
      <c r="N534" s="7">
        <v>0.55000000000000004</v>
      </c>
      <c r="O534" s="2">
        <v>2</v>
      </c>
      <c r="P534" s="7">
        <v>1.1000000000000001</v>
      </c>
      <c r="Q534" s="7">
        <v>0</v>
      </c>
      <c r="R534" s="7">
        <v>0.17</v>
      </c>
      <c r="S534" s="7">
        <v>1.06</v>
      </c>
      <c r="T534" s="7">
        <v>1.27</v>
      </c>
      <c r="U534">
        <v>7</v>
      </c>
      <c r="V534">
        <v>7</v>
      </c>
    </row>
    <row r="535" spans="1:22">
      <c r="A535">
        <v>531</v>
      </c>
      <c r="B535" s="4">
        <v>46297.037152777775</v>
      </c>
      <c r="C535" s="5">
        <v>46296</v>
      </c>
      <c r="D535" s="6">
        <v>2.037476851851852</v>
      </c>
      <c r="E535" s="5">
        <v>46296</v>
      </c>
      <c r="F535" t="s">
        <v>164</v>
      </c>
      <c r="G535" t="s">
        <v>165</v>
      </c>
      <c r="H535" t="s">
        <v>26</v>
      </c>
      <c r="I535" t="s">
        <v>27</v>
      </c>
      <c r="J535" t="s">
        <v>27</v>
      </c>
      <c r="K535" t="s">
        <v>464</v>
      </c>
      <c r="L535" s="2" t="s">
        <v>92</v>
      </c>
      <c r="M535" s="8" t="s">
        <v>93</v>
      </c>
      <c r="N535" s="7">
        <v>0.65</v>
      </c>
      <c r="O535" s="2">
        <v>1</v>
      </c>
      <c r="P535" s="7">
        <v>0.65</v>
      </c>
      <c r="Q535" s="7">
        <v>0</v>
      </c>
      <c r="R535" s="7">
        <v>0.1</v>
      </c>
      <c r="S535" s="7">
        <v>0.63</v>
      </c>
      <c r="T535" s="7">
        <v>0.75</v>
      </c>
      <c r="U535">
        <v>7</v>
      </c>
      <c r="V535">
        <v>7</v>
      </c>
    </row>
    <row r="536" spans="1:22">
      <c r="A536">
        <v>532</v>
      </c>
      <c r="B536" s="4">
        <v>46297.037152777775</v>
      </c>
      <c r="C536" s="5">
        <v>46296</v>
      </c>
      <c r="D536" s="6">
        <v>2.0375925925925924</v>
      </c>
      <c r="E536" s="5">
        <v>46296</v>
      </c>
      <c r="F536" t="s">
        <v>164</v>
      </c>
      <c r="G536" t="s">
        <v>165</v>
      </c>
      <c r="H536" t="s">
        <v>26</v>
      </c>
      <c r="I536" t="s">
        <v>27</v>
      </c>
      <c r="J536" t="s">
        <v>27</v>
      </c>
      <c r="K536" t="s">
        <v>464</v>
      </c>
      <c r="L536" s="2" t="s">
        <v>143</v>
      </c>
      <c r="M536" s="8" t="s">
        <v>144</v>
      </c>
      <c r="N536" s="7">
        <v>1.25</v>
      </c>
      <c r="O536" s="2">
        <v>2</v>
      </c>
      <c r="P536" s="7">
        <v>2.5</v>
      </c>
      <c r="Q536" s="7">
        <v>0</v>
      </c>
      <c r="R536" s="7">
        <v>0</v>
      </c>
      <c r="S536" s="7">
        <v>2.41</v>
      </c>
      <c r="T536" s="7">
        <v>2.5</v>
      </c>
      <c r="U536">
        <v>7</v>
      </c>
      <c r="V536">
        <v>7</v>
      </c>
    </row>
    <row r="537" spans="1:22">
      <c r="A537">
        <v>533</v>
      </c>
      <c r="B537" s="4">
        <v>46297.047812500001</v>
      </c>
      <c r="C537" s="5">
        <v>46296</v>
      </c>
      <c r="D537" s="6">
        <v>2.0478125</v>
      </c>
      <c r="E537" s="5">
        <v>46296</v>
      </c>
      <c r="F537" t="s">
        <v>164</v>
      </c>
      <c r="G537" t="s">
        <v>165</v>
      </c>
      <c r="H537" t="s">
        <v>26</v>
      </c>
      <c r="I537" t="s">
        <v>27</v>
      </c>
      <c r="J537" t="s">
        <v>27</v>
      </c>
      <c r="K537" t="s">
        <v>465</v>
      </c>
      <c r="L537" s="2" t="s">
        <v>337</v>
      </c>
      <c r="M537" s="8" t="s">
        <v>338</v>
      </c>
      <c r="N537" s="7">
        <v>0.81</v>
      </c>
      <c r="O537" s="2">
        <v>1</v>
      </c>
      <c r="P537" s="7">
        <v>0.81</v>
      </c>
      <c r="Q537" s="7">
        <v>0</v>
      </c>
      <c r="R537" s="7">
        <v>0.13</v>
      </c>
      <c r="S537" s="7">
        <v>0.54</v>
      </c>
      <c r="T537" s="7">
        <v>0.94</v>
      </c>
      <c r="U537">
        <v>7</v>
      </c>
      <c r="V537">
        <v>7</v>
      </c>
    </row>
    <row r="538" spans="1:22">
      <c r="A538">
        <v>534</v>
      </c>
      <c r="B538" s="4">
        <v>46297.047812500001</v>
      </c>
      <c r="C538" s="5">
        <v>46296</v>
      </c>
      <c r="D538" s="6">
        <v>2.0479050925925928</v>
      </c>
      <c r="E538" s="5">
        <v>46296</v>
      </c>
      <c r="F538" t="s">
        <v>164</v>
      </c>
      <c r="G538" t="s">
        <v>165</v>
      </c>
      <c r="H538" t="s">
        <v>26</v>
      </c>
      <c r="I538" t="s">
        <v>27</v>
      </c>
      <c r="J538" t="s">
        <v>27</v>
      </c>
      <c r="K538" t="s">
        <v>465</v>
      </c>
      <c r="L538" s="2" t="s">
        <v>98</v>
      </c>
      <c r="M538" s="8" t="s">
        <v>99</v>
      </c>
      <c r="N538" s="7">
        <v>0.81</v>
      </c>
      <c r="O538" s="2">
        <v>2</v>
      </c>
      <c r="P538" s="7">
        <v>1.62</v>
      </c>
      <c r="Q538" s="7">
        <v>0</v>
      </c>
      <c r="R538" s="7">
        <v>0.25</v>
      </c>
      <c r="S538" s="7">
        <v>1.57</v>
      </c>
      <c r="T538" s="7">
        <v>1.87</v>
      </c>
      <c r="U538">
        <v>7</v>
      </c>
      <c r="V538">
        <v>7</v>
      </c>
    </row>
    <row r="539" spans="1:22">
      <c r="A539">
        <v>535</v>
      </c>
      <c r="B539" s="4">
        <v>46297.059444444443</v>
      </c>
      <c r="C539" s="5">
        <v>46296</v>
      </c>
      <c r="D539" s="6">
        <v>2.0594328703703701</v>
      </c>
      <c r="E539" s="5">
        <v>46296</v>
      </c>
      <c r="F539" t="s">
        <v>164</v>
      </c>
      <c r="G539" t="s">
        <v>165</v>
      </c>
      <c r="H539" t="s">
        <v>26</v>
      </c>
      <c r="I539" t="s">
        <v>27</v>
      </c>
      <c r="J539" t="s">
        <v>27</v>
      </c>
      <c r="K539" t="s">
        <v>466</v>
      </c>
      <c r="L539" s="2" t="s">
        <v>194</v>
      </c>
      <c r="M539" s="8" t="s">
        <v>195</v>
      </c>
      <c r="N539" s="7">
        <v>1.08</v>
      </c>
      <c r="O539" s="2">
        <v>1</v>
      </c>
      <c r="P539" s="7">
        <v>1.08</v>
      </c>
      <c r="Q539" s="7">
        <v>0</v>
      </c>
      <c r="R539" s="7">
        <v>0.17</v>
      </c>
      <c r="S539" s="7">
        <v>0.43</v>
      </c>
      <c r="T539" s="7">
        <v>1.25</v>
      </c>
      <c r="U539">
        <v>7</v>
      </c>
      <c r="V539">
        <v>7</v>
      </c>
    </row>
    <row r="540" spans="1:22">
      <c r="A540">
        <v>536</v>
      </c>
      <c r="B540" s="4">
        <v>46297.112604166665</v>
      </c>
      <c r="C540" s="5">
        <v>46296</v>
      </c>
      <c r="D540" s="6">
        <v>2.1126041666666668</v>
      </c>
      <c r="E540" s="5">
        <v>46296</v>
      </c>
      <c r="F540" t="s">
        <v>164</v>
      </c>
      <c r="G540" t="s">
        <v>165</v>
      </c>
      <c r="H540" t="s">
        <v>26</v>
      </c>
      <c r="I540" t="s">
        <v>27</v>
      </c>
      <c r="J540" t="s">
        <v>27</v>
      </c>
      <c r="K540" t="s">
        <v>467</v>
      </c>
      <c r="L540" s="2" t="s">
        <v>445</v>
      </c>
      <c r="M540" s="8" t="s">
        <v>446</v>
      </c>
      <c r="N540" s="7">
        <v>1.9</v>
      </c>
      <c r="O540" s="2">
        <v>2</v>
      </c>
      <c r="P540" s="7">
        <v>3.8</v>
      </c>
      <c r="Q540" s="7">
        <v>0</v>
      </c>
      <c r="R540" s="7">
        <v>0.59</v>
      </c>
      <c r="S540" s="7">
        <v>1.01</v>
      </c>
      <c r="T540" s="7">
        <v>4.3899999999999997</v>
      </c>
      <c r="U540">
        <v>7</v>
      </c>
      <c r="V540">
        <v>7</v>
      </c>
    </row>
    <row r="541" spans="1:22">
      <c r="A541">
        <v>537</v>
      </c>
      <c r="B541" s="4">
        <v>46297.13040509259</v>
      </c>
      <c r="C541" s="5">
        <v>46296</v>
      </c>
      <c r="D541" s="6">
        <v>2.1303935185185185</v>
      </c>
      <c r="E541" s="5">
        <v>46296</v>
      </c>
      <c r="F541" t="s">
        <v>164</v>
      </c>
      <c r="G541" t="s">
        <v>165</v>
      </c>
      <c r="H541" t="s">
        <v>26</v>
      </c>
      <c r="I541" t="s">
        <v>27</v>
      </c>
      <c r="J541" t="s">
        <v>27</v>
      </c>
      <c r="K541" t="s">
        <v>468</v>
      </c>
      <c r="L541" s="2" t="s">
        <v>109</v>
      </c>
      <c r="M541" s="8" t="s">
        <v>110</v>
      </c>
      <c r="N541" s="7">
        <v>1.08</v>
      </c>
      <c r="O541" s="2">
        <v>2</v>
      </c>
      <c r="P541" s="7">
        <v>2.16</v>
      </c>
      <c r="Q541" s="7">
        <v>0</v>
      </c>
      <c r="R541" s="7">
        <v>0.34</v>
      </c>
      <c r="S541" s="7">
        <v>0.51</v>
      </c>
      <c r="T541" s="7">
        <v>2.5</v>
      </c>
      <c r="U541">
        <v>7</v>
      </c>
      <c r="V541">
        <v>7</v>
      </c>
    </row>
    <row r="542" spans="1:22">
      <c r="A542">
        <v>538</v>
      </c>
      <c r="B542" s="4">
        <v>46297.13040509259</v>
      </c>
      <c r="C542" s="5">
        <v>46296</v>
      </c>
      <c r="D542" s="6">
        <v>2.1442013888888889</v>
      </c>
      <c r="E542" s="5">
        <v>46296</v>
      </c>
      <c r="F542" t="s">
        <v>164</v>
      </c>
      <c r="G542" t="s">
        <v>165</v>
      </c>
      <c r="H542" t="s">
        <v>26</v>
      </c>
      <c r="I542" t="s">
        <v>27</v>
      </c>
      <c r="J542" t="s">
        <v>27</v>
      </c>
      <c r="K542" t="s">
        <v>468</v>
      </c>
      <c r="L542" s="2" t="s">
        <v>66</v>
      </c>
      <c r="M542" s="8" t="s">
        <v>67</v>
      </c>
      <c r="N542" s="7">
        <v>2.19</v>
      </c>
      <c r="O542" s="2">
        <v>1</v>
      </c>
      <c r="P542" s="7">
        <v>2.19</v>
      </c>
      <c r="Q542" s="7">
        <v>0</v>
      </c>
      <c r="R542" s="7">
        <v>0</v>
      </c>
      <c r="S542" s="7">
        <v>2.1</v>
      </c>
      <c r="T542" s="7">
        <v>2.19</v>
      </c>
      <c r="U542">
        <v>7</v>
      </c>
      <c r="V542">
        <v>7</v>
      </c>
    </row>
    <row r="543" spans="1:22">
      <c r="A543">
        <v>539</v>
      </c>
      <c r="B543" s="4">
        <v>46297.164050925923</v>
      </c>
      <c r="C543" s="5">
        <v>46296</v>
      </c>
      <c r="D543" s="6">
        <v>2.1640393518518519</v>
      </c>
      <c r="E543" s="5">
        <v>46296</v>
      </c>
      <c r="F543" t="s">
        <v>164</v>
      </c>
      <c r="G543" t="s">
        <v>165</v>
      </c>
      <c r="H543" t="s">
        <v>26</v>
      </c>
      <c r="I543" t="s">
        <v>27</v>
      </c>
      <c r="J543" t="s">
        <v>27</v>
      </c>
      <c r="K543" t="s">
        <v>469</v>
      </c>
      <c r="L543" s="2" t="s">
        <v>100</v>
      </c>
      <c r="M543" s="8" t="s">
        <v>101</v>
      </c>
      <c r="N543" s="7">
        <v>0.81</v>
      </c>
      <c r="O543" s="2">
        <v>2</v>
      </c>
      <c r="P543" s="7">
        <v>1.62</v>
      </c>
      <c r="Q543" s="7">
        <v>0</v>
      </c>
      <c r="R543" s="7">
        <v>0.25</v>
      </c>
      <c r="S543" s="7">
        <v>0.79</v>
      </c>
      <c r="T543" s="7">
        <v>1.87</v>
      </c>
      <c r="U543">
        <v>7</v>
      </c>
      <c r="V543">
        <v>7</v>
      </c>
    </row>
    <row r="544" spans="1:22">
      <c r="A544">
        <v>540</v>
      </c>
      <c r="B544" s="4">
        <v>46297.164050925923</v>
      </c>
      <c r="C544" s="5">
        <v>46296</v>
      </c>
      <c r="D544" s="6">
        <v>2.1642129629629632</v>
      </c>
      <c r="E544" s="5">
        <v>46296</v>
      </c>
      <c r="F544" t="s">
        <v>164</v>
      </c>
      <c r="G544" t="s">
        <v>165</v>
      </c>
      <c r="H544" t="s">
        <v>26</v>
      </c>
      <c r="I544" t="s">
        <v>27</v>
      </c>
      <c r="J544" t="s">
        <v>27</v>
      </c>
      <c r="K544" t="s">
        <v>469</v>
      </c>
      <c r="L544" s="2" t="s">
        <v>84</v>
      </c>
      <c r="M544" s="8" t="s">
        <v>85</v>
      </c>
      <c r="N544" s="7">
        <v>1.35</v>
      </c>
      <c r="O544" s="2">
        <v>1</v>
      </c>
      <c r="P544" s="7">
        <v>1.35</v>
      </c>
      <c r="Q544" s="7">
        <v>0</v>
      </c>
      <c r="R544" s="7">
        <v>0.21</v>
      </c>
      <c r="S544" s="7">
        <v>1.3</v>
      </c>
      <c r="T544" s="7">
        <v>1.56</v>
      </c>
      <c r="U544">
        <v>7</v>
      </c>
      <c r="V544">
        <v>7</v>
      </c>
    </row>
    <row r="545" spans="1:22">
      <c r="A545">
        <v>541</v>
      </c>
      <c r="B545" s="4">
        <v>46297.177430555559</v>
      </c>
      <c r="C545" s="5">
        <v>46296</v>
      </c>
      <c r="D545" s="6">
        <v>2.1774305555555555</v>
      </c>
      <c r="E545" s="5">
        <v>46296</v>
      </c>
      <c r="F545" t="s">
        <v>164</v>
      </c>
      <c r="G545" t="s">
        <v>165</v>
      </c>
      <c r="H545" t="s">
        <v>26</v>
      </c>
      <c r="I545" t="s">
        <v>27</v>
      </c>
      <c r="J545" t="s">
        <v>27</v>
      </c>
      <c r="K545" t="s">
        <v>470</v>
      </c>
      <c r="L545" s="2" t="s">
        <v>283</v>
      </c>
      <c r="M545" s="8" t="s">
        <v>284</v>
      </c>
      <c r="N545" s="7">
        <v>1.08</v>
      </c>
      <c r="O545" s="2">
        <v>1</v>
      </c>
      <c r="P545" s="7">
        <v>1.08</v>
      </c>
      <c r="Q545" s="7">
        <v>0</v>
      </c>
      <c r="R545" s="7">
        <v>0.17</v>
      </c>
      <c r="S545" s="7">
        <v>0.43</v>
      </c>
      <c r="T545" s="7">
        <v>1.25</v>
      </c>
      <c r="U545">
        <v>7</v>
      </c>
      <c r="V545">
        <v>7</v>
      </c>
    </row>
    <row r="546" spans="1:22">
      <c r="A546">
        <v>542</v>
      </c>
      <c r="B546" s="4">
        <v>46297.207071759258</v>
      </c>
      <c r="C546" s="5">
        <v>46296</v>
      </c>
      <c r="D546" s="6">
        <v>2.2072337962962965</v>
      </c>
      <c r="E546" s="5">
        <v>46296</v>
      </c>
      <c r="F546" t="s">
        <v>164</v>
      </c>
      <c r="G546" t="s">
        <v>165</v>
      </c>
      <c r="H546" t="s">
        <v>26</v>
      </c>
      <c r="I546" t="s">
        <v>27</v>
      </c>
      <c r="J546" t="s">
        <v>27</v>
      </c>
      <c r="K546" t="s">
        <v>471</v>
      </c>
      <c r="L546" s="2" t="s">
        <v>211</v>
      </c>
      <c r="M546" s="8" t="s">
        <v>212</v>
      </c>
      <c r="N546" s="7">
        <v>1.56</v>
      </c>
      <c r="O546" s="2">
        <v>3</v>
      </c>
      <c r="P546" s="7">
        <v>4.68</v>
      </c>
      <c r="Q546" s="7">
        <v>0</v>
      </c>
      <c r="R546" s="7">
        <v>0</v>
      </c>
      <c r="S546" s="7">
        <v>4.53</v>
      </c>
      <c r="T546" s="7">
        <v>4.68</v>
      </c>
      <c r="U546">
        <v>7</v>
      </c>
      <c r="V546">
        <v>7</v>
      </c>
    </row>
    <row r="547" spans="1:22">
      <c r="A547">
        <v>543</v>
      </c>
      <c r="B547" s="4">
        <v>46297.284861111111</v>
      </c>
      <c r="C547" s="5">
        <v>46296</v>
      </c>
      <c r="D547" s="6">
        <v>2.2848611111111112</v>
      </c>
      <c r="E547" s="5">
        <v>46296</v>
      </c>
      <c r="F547" t="s">
        <v>164</v>
      </c>
      <c r="G547" t="s">
        <v>165</v>
      </c>
      <c r="H547" t="s">
        <v>26</v>
      </c>
      <c r="I547" t="s">
        <v>27</v>
      </c>
      <c r="J547" t="s">
        <v>27</v>
      </c>
      <c r="K547" t="s">
        <v>472</v>
      </c>
      <c r="L547" s="2" t="s">
        <v>229</v>
      </c>
      <c r="M547" s="8" t="s">
        <v>230</v>
      </c>
      <c r="N547" s="7">
        <v>0.81</v>
      </c>
      <c r="O547" s="2">
        <v>1</v>
      </c>
      <c r="P547" s="7">
        <v>0.81</v>
      </c>
      <c r="Q547" s="7">
        <v>0</v>
      </c>
      <c r="R547" s="7">
        <v>0.13</v>
      </c>
      <c r="S547" s="7">
        <v>0.79</v>
      </c>
      <c r="T547" s="7">
        <v>0.94</v>
      </c>
      <c r="U547">
        <v>7</v>
      </c>
      <c r="V547">
        <v>7</v>
      </c>
    </row>
    <row r="548" spans="1:22">
      <c r="A548">
        <v>544</v>
      </c>
      <c r="B548" s="4">
        <v>46297.320694444446</v>
      </c>
      <c r="C548" s="5">
        <v>46297</v>
      </c>
      <c r="D548" s="6">
        <v>2.3206944444444444</v>
      </c>
      <c r="E548" s="5">
        <v>46297</v>
      </c>
      <c r="F548" t="s">
        <v>24</v>
      </c>
      <c r="G548" t="s">
        <v>25</v>
      </c>
      <c r="H548" t="s">
        <v>26</v>
      </c>
      <c r="I548" t="s">
        <v>27</v>
      </c>
      <c r="J548" t="s">
        <v>27</v>
      </c>
      <c r="K548" t="s">
        <v>473</v>
      </c>
      <c r="L548" s="2" t="s">
        <v>474</v>
      </c>
      <c r="M548" s="8" t="s">
        <v>475</v>
      </c>
      <c r="N548" s="7">
        <v>1.25</v>
      </c>
      <c r="O548" s="2">
        <v>1</v>
      </c>
      <c r="P548" s="7">
        <v>1.25</v>
      </c>
      <c r="Q548" s="7">
        <v>0</v>
      </c>
      <c r="R548" s="7">
        <v>0</v>
      </c>
      <c r="S548" s="7">
        <v>1.21</v>
      </c>
      <c r="T548" s="7">
        <v>1.25</v>
      </c>
      <c r="U548">
        <v>7</v>
      </c>
      <c r="V548">
        <v>7</v>
      </c>
    </row>
    <row r="549" spans="1:22">
      <c r="A549">
        <v>545</v>
      </c>
      <c r="B549" s="4">
        <v>46297.320694444446</v>
      </c>
      <c r="C549" s="5">
        <v>46297</v>
      </c>
      <c r="D549" s="6">
        <v>2.3207870370370371</v>
      </c>
      <c r="E549" s="5">
        <v>46297</v>
      </c>
      <c r="F549" t="s">
        <v>24</v>
      </c>
      <c r="G549" t="s">
        <v>25</v>
      </c>
      <c r="H549" t="s">
        <v>26</v>
      </c>
      <c r="I549" t="s">
        <v>27</v>
      </c>
      <c r="J549" t="s">
        <v>27</v>
      </c>
      <c r="K549" t="s">
        <v>473</v>
      </c>
      <c r="L549" s="2" t="s">
        <v>100</v>
      </c>
      <c r="M549" s="8" t="s">
        <v>101</v>
      </c>
      <c r="N549" s="7">
        <v>0.81</v>
      </c>
      <c r="O549" s="2">
        <v>1</v>
      </c>
      <c r="P549" s="7">
        <v>0.81</v>
      </c>
      <c r="Q549" s="7">
        <v>0</v>
      </c>
      <c r="R549" s="7">
        <v>0.13</v>
      </c>
      <c r="S549" s="7">
        <v>0.39</v>
      </c>
      <c r="T549" s="7">
        <v>0.94</v>
      </c>
      <c r="U549">
        <v>8</v>
      </c>
      <c r="V549">
        <v>8</v>
      </c>
    </row>
    <row r="550" spans="1:22">
      <c r="A550">
        <v>546</v>
      </c>
      <c r="B550" s="4">
        <v>46297.320694444446</v>
      </c>
      <c r="C550" s="5">
        <v>46297</v>
      </c>
      <c r="D550" s="6">
        <v>2.321087962962963</v>
      </c>
      <c r="E550" s="5">
        <v>46297</v>
      </c>
      <c r="F550" t="s">
        <v>24</v>
      </c>
      <c r="G550" t="s">
        <v>25</v>
      </c>
      <c r="H550" t="s">
        <v>26</v>
      </c>
      <c r="I550" t="s">
        <v>27</v>
      </c>
      <c r="J550" t="s">
        <v>27</v>
      </c>
      <c r="K550" t="s">
        <v>473</v>
      </c>
      <c r="L550" s="2" t="s">
        <v>63</v>
      </c>
      <c r="M550" s="8" t="s">
        <v>64</v>
      </c>
      <c r="N550" s="7">
        <v>1.9</v>
      </c>
      <c r="O550" s="2">
        <v>1</v>
      </c>
      <c r="P550" s="7">
        <v>1.9</v>
      </c>
      <c r="Q550" s="7">
        <v>0</v>
      </c>
      <c r="R550" s="7">
        <v>0.28999999999999998</v>
      </c>
      <c r="S550" s="7">
        <v>1.83</v>
      </c>
      <c r="T550" s="7">
        <v>2.19</v>
      </c>
      <c r="U550">
        <v>8</v>
      </c>
      <c r="V550">
        <v>8</v>
      </c>
    </row>
    <row r="551" spans="1:22">
      <c r="A551">
        <v>547</v>
      </c>
      <c r="B551" s="4">
        <v>46297.320694444446</v>
      </c>
      <c r="C551" s="5">
        <v>46297</v>
      </c>
      <c r="D551" s="6">
        <v>2.3212037037037039</v>
      </c>
      <c r="E551" s="5">
        <v>46297</v>
      </c>
      <c r="F551" t="s">
        <v>24</v>
      </c>
      <c r="G551" t="s">
        <v>25</v>
      </c>
      <c r="H551" t="s">
        <v>26</v>
      </c>
      <c r="I551" t="s">
        <v>27</v>
      </c>
      <c r="J551" t="s">
        <v>27</v>
      </c>
      <c r="K551" t="s">
        <v>473</v>
      </c>
      <c r="L551" s="2" t="s">
        <v>81</v>
      </c>
      <c r="M551" s="8" t="s">
        <v>82</v>
      </c>
      <c r="N551" s="7">
        <v>1.08</v>
      </c>
      <c r="O551" s="2">
        <v>2</v>
      </c>
      <c r="P551" s="7">
        <v>2.16</v>
      </c>
      <c r="Q551" s="7">
        <v>0</v>
      </c>
      <c r="R551" s="7">
        <v>0.34</v>
      </c>
      <c r="S551" s="7">
        <v>0.51</v>
      </c>
      <c r="T551" s="7">
        <v>2.5</v>
      </c>
      <c r="U551">
        <v>8</v>
      </c>
      <c r="V551">
        <v>8</v>
      </c>
    </row>
    <row r="552" spans="1:22">
      <c r="A552">
        <v>548</v>
      </c>
      <c r="B552" s="4">
        <v>46297.320694444446</v>
      </c>
      <c r="C552" s="5">
        <v>46297</v>
      </c>
      <c r="D552" s="6">
        <v>2.3220833333333335</v>
      </c>
      <c r="E552" s="5">
        <v>46297</v>
      </c>
      <c r="F552" t="s">
        <v>24</v>
      </c>
      <c r="G552" t="s">
        <v>25</v>
      </c>
      <c r="H552" t="s">
        <v>26</v>
      </c>
      <c r="I552" t="s">
        <v>27</v>
      </c>
      <c r="J552" t="s">
        <v>27</v>
      </c>
      <c r="K552" t="s">
        <v>473</v>
      </c>
      <c r="L552" s="2" t="s">
        <v>218</v>
      </c>
      <c r="M552" s="8" t="s">
        <v>219</v>
      </c>
      <c r="N552" s="7">
        <v>1.63</v>
      </c>
      <c r="O552" s="2">
        <v>1</v>
      </c>
      <c r="P552" s="7">
        <v>1.63</v>
      </c>
      <c r="Q552" s="7">
        <v>0</v>
      </c>
      <c r="R552" s="7">
        <v>0.25</v>
      </c>
      <c r="S552" s="7">
        <v>1.57</v>
      </c>
      <c r="T552" s="7">
        <v>1.88</v>
      </c>
      <c r="U552">
        <v>8</v>
      </c>
      <c r="V552">
        <v>8</v>
      </c>
    </row>
    <row r="553" spans="1:22">
      <c r="A553">
        <v>549</v>
      </c>
      <c r="B553" s="4">
        <v>46297.320694444446</v>
      </c>
      <c r="C553" s="5">
        <v>46297</v>
      </c>
      <c r="D553" s="6">
        <v>2.3222106481481481</v>
      </c>
      <c r="E553" s="5">
        <v>46297</v>
      </c>
      <c r="F553" t="s">
        <v>24</v>
      </c>
      <c r="G553" t="s">
        <v>25</v>
      </c>
      <c r="H553" t="s">
        <v>26</v>
      </c>
      <c r="I553" t="s">
        <v>27</v>
      </c>
      <c r="J553" t="s">
        <v>27</v>
      </c>
      <c r="K553" t="s">
        <v>473</v>
      </c>
      <c r="L553" s="2" t="s">
        <v>151</v>
      </c>
      <c r="M553" s="8" t="s">
        <v>152</v>
      </c>
      <c r="N553" s="7">
        <v>0.27</v>
      </c>
      <c r="O553" s="2">
        <v>1</v>
      </c>
      <c r="P553" s="7">
        <v>0.27</v>
      </c>
      <c r="Q553" s="7">
        <v>0</v>
      </c>
      <c r="R553" s="7">
        <v>0.04</v>
      </c>
      <c r="S553" s="7">
        <v>0.14000000000000001</v>
      </c>
      <c r="T553" s="7">
        <v>0.31</v>
      </c>
      <c r="U553">
        <v>8</v>
      </c>
      <c r="V553">
        <v>8</v>
      </c>
    </row>
    <row r="554" spans="1:22">
      <c r="A554">
        <v>550</v>
      </c>
      <c r="B554" s="4">
        <v>46297.327430555553</v>
      </c>
      <c r="C554" s="5">
        <v>46297</v>
      </c>
      <c r="D554" s="6">
        <v>2.3274305555555554</v>
      </c>
      <c r="E554" s="5">
        <v>46297</v>
      </c>
      <c r="F554" t="s">
        <v>24</v>
      </c>
      <c r="G554" t="s">
        <v>25</v>
      </c>
      <c r="H554" t="s">
        <v>26</v>
      </c>
      <c r="I554" t="s">
        <v>27</v>
      </c>
      <c r="J554" t="s">
        <v>27</v>
      </c>
      <c r="K554" t="s">
        <v>476</v>
      </c>
      <c r="L554" s="2" t="s">
        <v>88</v>
      </c>
      <c r="M554" s="8" t="s">
        <v>89</v>
      </c>
      <c r="N554" s="7">
        <v>0.81</v>
      </c>
      <c r="O554" s="2">
        <v>1</v>
      </c>
      <c r="P554" s="7">
        <v>0.81</v>
      </c>
      <c r="Q554" s="7">
        <v>0</v>
      </c>
      <c r="R554" s="7">
        <v>0.13</v>
      </c>
      <c r="S554" s="7">
        <v>0.79</v>
      </c>
      <c r="T554" s="7">
        <v>0.94</v>
      </c>
      <c r="U554">
        <v>8</v>
      </c>
      <c r="V554">
        <v>8</v>
      </c>
    </row>
    <row r="555" spans="1:22">
      <c r="A555">
        <v>551</v>
      </c>
      <c r="B555" s="4">
        <v>46297.338101851848</v>
      </c>
      <c r="C555" s="5">
        <v>46297</v>
      </c>
      <c r="D555" s="6">
        <v>2.3380902777777779</v>
      </c>
      <c r="E555" s="5">
        <v>46297</v>
      </c>
      <c r="F555" t="s">
        <v>24</v>
      </c>
      <c r="G555" t="s">
        <v>25</v>
      </c>
      <c r="H555" t="s">
        <v>26</v>
      </c>
      <c r="I555" t="s">
        <v>27</v>
      </c>
      <c r="J555" t="s">
        <v>27</v>
      </c>
      <c r="K555" t="s">
        <v>477</v>
      </c>
      <c r="L555" s="2" t="s">
        <v>29</v>
      </c>
      <c r="M555" s="8" t="s">
        <v>30</v>
      </c>
      <c r="N555" s="7">
        <v>0.81</v>
      </c>
      <c r="O555" s="2">
        <v>1</v>
      </c>
      <c r="P555" s="7">
        <v>0.81</v>
      </c>
      <c r="Q555" s="7">
        <v>0</v>
      </c>
      <c r="R555" s="7">
        <v>0.13</v>
      </c>
      <c r="S555" s="7">
        <v>0.43</v>
      </c>
      <c r="T555" s="7">
        <v>0.94</v>
      </c>
      <c r="U555">
        <v>8</v>
      </c>
      <c r="V555">
        <v>8</v>
      </c>
    </row>
    <row r="556" spans="1:22">
      <c r="A556">
        <v>552</v>
      </c>
      <c r="B556" s="4">
        <v>46297.346145833333</v>
      </c>
      <c r="C556" s="5">
        <v>46297</v>
      </c>
      <c r="D556" s="6">
        <v>2.3461458333333334</v>
      </c>
      <c r="E556" s="5">
        <v>46297</v>
      </c>
      <c r="F556" t="s">
        <v>24</v>
      </c>
      <c r="G556" t="s">
        <v>25</v>
      </c>
      <c r="H556" t="s">
        <v>26</v>
      </c>
      <c r="I556" t="s">
        <v>27</v>
      </c>
      <c r="J556" t="s">
        <v>27</v>
      </c>
      <c r="K556" t="s">
        <v>478</v>
      </c>
      <c r="L556" s="2" t="s">
        <v>50</v>
      </c>
      <c r="M556" s="8" t="s">
        <v>51</v>
      </c>
      <c r="N556" s="7">
        <v>0.43</v>
      </c>
      <c r="O556" s="2">
        <v>1</v>
      </c>
      <c r="P556" s="7">
        <v>0.43</v>
      </c>
      <c r="Q556" s="7">
        <v>0</v>
      </c>
      <c r="R556" s="7">
        <v>7.0000000000000007E-2</v>
      </c>
      <c r="S556" s="7">
        <v>0.41</v>
      </c>
      <c r="T556" s="7">
        <v>0.5</v>
      </c>
      <c r="U556">
        <v>8</v>
      </c>
      <c r="V556">
        <v>8</v>
      </c>
    </row>
    <row r="557" spans="1:22">
      <c r="A557">
        <v>553</v>
      </c>
      <c r="B557" s="4">
        <v>46297.346504629626</v>
      </c>
      <c r="C557" s="5">
        <v>46297</v>
      </c>
      <c r="D557" s="6">
        <v>2.3465046296296297</v>
      </c>
      <c r="E557" s="5">
        <v>46297</v>
      </c>
      <c r="F557" t="s">
        <v>24</v>
      </c>
      <c r="G557" t="s">
        <v>25</v>
      </c>
      <c r="H557" t="s">
        <v>26</v>
      </c>
      <c r="I557" t="s">
        <v>27</v>
      </c>
      <c r="J557" t="s">
        <v>27</v>
      </c>
      <c r="K557" t="s">
        <v>479</v>
      </c>
      <c r="L557" s="2" t="s">
        <v>229</v>
      </c>
      <c r="M557" s="8" t="s">
        <v>230</v>
      </c>
      <c r="N557" s="7">
        <v>0.81</v>
      </c>
      <c r="O557" s="2">
        <v>1</v>
      </c>
      <c r="P557" s="7">
        <v>0.81</v>
      </c>
      <c r="Q557" s="7">
        <v>0</v>
      </c>
      <c r="R557" s="7">
        <v>0.13</v>
      </c>
      <c r="S557" s="7">
        <v>0.79</v>
      </c>
      <c r="T557" s="7">
        <v>0.94</v>
      </c>
      <c r="U557">
        <v>8</v>
      </c>
      <c r="V557">
        <v>8</v>
      </c>
    </row>
    <row r="558" spans="1:22">
      <c r="A558">
        <v>554</v>
      </c>
      <c r="B558" s="4">
        <v>46297.353148148148</v>
      </c>
      <c r="C558" s="5">
        <v>46297</v>
      </c>
      <c r="D558" s="6">
        <v>2.3547106481481483</v>
      </c>
      <c r="E558" s="5">
        <v>46297</v>
      </c>
      <c r="F558" t="s">
        <v>24</v>
      </c>
      <c r="G558" t="s">
        <v>25</v>
      </c>
      <c r="H558" t="s">
        <v>26</v>
      </c>
      <c r="I558" t="s">
        <v>27</v>
      </c>
      <c r="J558" t="s">
        <v>27</v>
      </c>
      <c r="K558" t="s">
        <v>480</v>
      </c>
      <c r="L558" s="2" t="s">
        <v>176</v>
      </c>
      <c r="M558" s="8" t="s">
        <v>177</v>
      </c>
      <c r="N558" s="7">
        <v>2.16</v>
      </c>
      <c r="O558" s="2">
        <v>1</v>
      </c>
      <c r="P558" s="7">
        <v>2.16</v>
      </c>
      <c r="Q558" s="7">
        <v>0</v>
      </c>
      <c r="R558" s="7">
        <v>0.34</v>
      </c>
      <c r="S558" s="7">
        <v>2.1</v>
      </c>
      <c r="T558" s="7">
        <v>2.5</v>
      </c>
      <c r="U558">
        <v>8</v>
      </c>
      <c r="V558">
        <v>8</v>
      </c>
    </row>
    <row r="559" spans="1:22">
      <c r="A559">
        <v>555</v>
      </c>
      <c r="B559" s="4">
        <v>46297.353148148148</v>
      </c>
      <c r="C559" s="5">
        <v>46297</v>
      </c>
      <c r="D559" s="6">
        <v>2.3547106481481483</v>
      </c>
      <c r="E559" s="5">
        <v>46297</v>
      </c>
      <c r="F559" t="s">
        <v>24</v>
      </c>
      <c r="G559" t="s">
        <v>25</v>
      </c>
      <c r="H559" t="s">
        <v>26</v>
      </c>
      <c r="I559" t="s">
        <v>27</v>
      </c>
      <c r="J559" t="s">
        <v>27</v>
      </c>
      <c r="K559" t="s">
        <v>480</v>
      </c>
      <c r="L559" s="2" t="s">
        <v>146</v>
      </c>
      <c r="M559" s="8" t="s">
        <v>147</v>
      </c>
      <c r="N559" s="7">
        <v>2.16</v>
      </c>
      <c r="O559" s="2">
        <v>1</v>
      </c>
      <c r="P559" s="7">
        <v>2.16</v>
      </c>
      <c r="Q559" s="7">
        <v>0</v>
      </c>
      <c r="R559" s="7">
        <v>0.34</v>
      </c>
      <c r="S559" s="7">
        <v>2.09</v>
      </c>
      <c r="T559" s="7">
        <v>2.5</v>
      </c>
      <c r="U559">
        <v>8</v>
      </c>
      <c r="V559">
        <v>8</v>
      </c>
    </row>
    <row r="560" spans="1:22">
      <c r="A560">
        <v>556</v>
      </c>
      <c r="B560" s="4">
        <v>46297.353148148148</v>
      </c>
      <c r="C560" s="5">
        <v>46297</v>
      </c>
      <c r="D560" s="6">
        <v>2.3547106481481483</v>
      </c>
      <c r="E560" s="5">
        <v>46297</v>
      </c>
      <c r="F560" t="s">
        <v>24</v>
      </c>
      <c r="G560" t="s">
        <v>25</v>
      </c>
      <c r="H560" t="s">
        <v>26</v>
      </c>
      <c r="I560" t="s">
        <v>27</v>
      </c>
      <c r="J560" t="s">
        <v>27</v>
      </c>
      <c r="K560" t="s">
        <v>480</v>
      </c>
      <c r="L560" s="2" t="s">
        <v>120</v>
      </c>
      <c r="M560" s="8" t="s">
        <v>121</v>
      </c>
      <c r="N560" s="7">
        <v>0.81</v>
      </c>
      <c r="O560" s="2">
        <v>1</v>
      </c>
      <c r="P560" s="7">
        <v>0.81</v>
      </c>
      <c r="Q560" s="7">
        <v>0</v>
      </c>
      <c r="R560" s="7">
        <v>0.13</v>
      </c>
      <c r="S560" s="7">
        <v>0.79</v>
      </c>
      <c r="T560" s="7">
        <v>0.94</v>
      </c>
      <c r="U560">
        <v>8</v>
      </c>
      <c r="V560">
        <v>8</v>
      </c>
    </row>
    <row r="561" spans="1:22">
      <c r="A561">
        <v>557</v>
      </c>
      <c r="B561" s="4">
        <v>46297.379699074074</v>
      </c>
      <c r="C561" s="5">
        <v>46297</v>
      </c>
      <c r="D561" s="6">
        <v>2.379699074074074</v>
      </c>
      <c r="E561" s="5">
        <v>46297</v>
      </c>
      <c r="F561" t="s">
        <v>24</v>
      </c>
      <c r="G561" t="s">
        <v>25</v>
      </c>
      <c r="H561" t="s">
        <v>26</v>
      </c>
      <c r="I561" t="s">
        <v>27</v>
      </c>
      <c r="J561" t="s">
        <v>27</v>
      </c>
      <c r="K561" t="s">
        <v>481</v>
      </c>
      <c r="L561" s="2" t="s">
        <v>109</v>
      </c>
      <c r="M561" s="8" t="s">
        <v>110</v>
      </c>
      <c r="N561" s="7">
        <v>1.08</v>
      </c>
      <c r="O561" s="2">
        <v>3</v>
      </c>
      <c r="P561" s="7">
        <v>3.24</v>
      </c>
      <c r="Q561" s="7">
        <v>0</v>
      </c>
      <c r="R561" s="7">
        <v>0.5</v>
      </c>
      <c r="S561" s="7">
        <v>0.77</v>
      </c>
      <c r="T561" s="7">
        <v>3.74</v>
      </c>
      <c r="U561">
        <v>8</v>
      </c>
      <c r="V561">
        <v>8</v>
      </c>
    </row>
    <row r="562" spans="1:22">
      <c r="A562">
        <v>558</v>
      </c>
      <c r="B562" s="4">
        <v>46297.379699074074</v>
      </c>
      <c r="C562" s="5">
        <v>46297</v>
      </c>
      <c r="D562" s="6">
        <v>2.3797453703703701</v>
      </c>
      <c r="E562" s="5">
        <v>46297</v>
      </c>
      <c r="F562" t="s">
        <v>24</v>
      </c>
      <c r="G562" t="s">
        <v>25</v>
      </c>
      <c r="H562" t="s">
        <v>26</v>
      </c>
      <c r="I562" t="s">
        <v>27</v>
      </c>
      <c r="J562" t="s">
        <v>27</v>
      </c>
      <c r="K562" t="s">
        <v>481</v>
      </c>
      <c r="L562" s="2" t="s">
        <v>88</v>
      </c>
      <c r="M562" s="8" t="s">
        <v>89</v>
      </c>
      <c r="N562" s="7">
        <v>0.81</v>
      </c>
      <c r="O562" s="2">
        <v>3</v>
      </c>
      <c r="P562" s="7">
        <v>2.4300000000000002</v>
      </c>
      <c r="Q562" s="7">
        <v>0</v>
      </c>
      <c r="R562" s="7">
        <v>0.38</v>
      </c>
      <c r="S562" s="7">
        <v>2.36</v>
      </c>
      <c r="T562" s="7">
        <v>2.81</v>
      </c>
      <c r="U562">
        <v>8</v>
      </c>
      <c r="V562">
        <v>8</v>
      </c>
    </row>
    <row r="563" spans="1:22">
      <c r="A563">
        <v>559</v>
      </c>
      <c r="B563" s="4">
        <v>46297.380219907405</v>
      </c>
      <c r="C563" s="5">
        <v>46297</v>
      </c>
      <c r="D563" s="6">
        <v>2.3802199074074073</v>
      </c>
      <c r="E563" s="5">
        <v>46297</v>
      </c>
      <c r="F563" t="s">
        <v>24</v>
      </c>
      <c r="G563" t="s">
        <v>25</v>
      </c>
      <c r="H563" t="s">
        <v>26</v>
      </c>
      <c r="I563" t="s">
        <v>27</v>
      </c>
      <c r="J563" t="s">
        <v>27</v>
      </c>
      <c r="K563" t="s">
        <v>482</v>
      </c>
      <c r="L563" s="2" t="s">
        <v>96</v>
      </c>
      <c r="M563" s="8" t="s">
        <v>97</v>
      </c>
      <c r="N563" s="7">
        <v>1.63</v>
      </c>
      <c r="O563" s="2">
        <v>1</v>
      </c>
      <c r="P563" s="7">
        <v>1.63</v>
      </c>
      <c r="Q563" s="7">
        <v>0</v>
      </c>
      <c r="R563" s="7">
        <v>0.25</v>
      </c>
      <c r="S563" s="7">
        <v>1.56</v>
      </c>
      <c r="T563" s="7">
        <v>1.88</v>
      </c>
      <c r="U563">
        <v>8</v>
      </c>
      <c r="V563">
        <v>8</v>
      </c>
    </row>
    <row r="564" spans="1:22">
      <c r="A564">
        <v>560</v>
      </c>
      <c r="B564" s="4">
        <v>46297.392060185186</v>
      </c>
      <c r="C564" s="5">
        <v>46297</v>
      </c>
      <c r="D564" s="6">
        <v>2.392048611111111</v>
      </c>
      <c r="E564" s="5">
        <v>46297</v>
      </c>
      <c r="F564" t="s">
        <v>24</v>
      </c>
      <c r="G564" t="s">
        <v>25</v>
      </c>
      <c r="H564" t="s">
        <v>26</v>
      </c>
      <c r="I564" t="s">
        <v>27</v>
      </c>
      <c r="J564" t="s">
        <v>27</v>
      </c>
      <c r="K564" t="s">
        <v>483</v>
      </c>
      <c r="L564" s="2" t="s">
        <v>50</v>
      </c>
      <c r="M564" s="8" t="s">
        <v>51</v>
      </c>
      <c r="N564" s="7">
        <v>0.43</v>
      </c>
      <c r="O564" s="2">
        <v>2</v>
      </c>
      <c r="P564" s="7">
        <v>0.86</v>
      </c>
      <c r="Q564" s="7">
        <v>0</v>
      </c>
      <c r="R564" s="7">
        <v>0.13</v>
      </c>
      <c r="S564" s="7">
        <v>0.82</v>
      </c>
      <c r="T564" s="7">
        <v>0.99</v>
      </c>
      <c r="U564">
        <v>8</v>
      </c>
      <c r="V564">
        <v>8</v>
      </c>
    </row>
    <row r="565" spans="1:22">
      <c r="A565">
        <v>561</v>
      </c>
      <c r="B565" s="4">
        <v>46297.392060185186</v>
      </c>
      <c r="C565" s="5">
        <v>46297</v>
      </c>
      <c r="D565" s="6">
        <v>2.3923379629629631</v>
      </c>
      <c r="E565" s="5">
        <v>46297</v>
      </c>
      <c r="F565" t="s">
        <v>24</v>
      </c>
      <c r="G565" t="s">
        <v>25</v>
      </c>
      <c r="H565" t="s">
        <v>26</v>
      </c>
      <c r="I565" t="s">
        <v>27</v>
      </c>
      <c r="J565" t="s">
        <v>27</v>
      </c>
      <c r="K565" t="s">
        <v>483</v>
      </c>
      <c r="L565" s="2" t="s">
        <v>484</v>
      </c>
      <c r="M565" s="8" t="s">
        <v>485</v>
      </c>
      <c r="N565" s="7">
        <v>0.55000000000000004</v>
      </c>
      <c r="O565" s="2">
        <v>1</v>
      </c>
      <c r="P565" s="7">
        <v>0.55000000000000004</v>
      </c>
      <c r="Q565" s="7">
        <v>0</v>
      </c>
      <c r="R565" s="7">
        <v>0.08</v>
      </c>
      <c r="S565" s="7">
        <v>0.28000000000000003</v>
      </c>
      <c r="T565" s="7">
        <v>0.63</v>
      </c>
      <c r="U565">
        <v>8</v>
      </c>
      <c r="V565">
        <v>8</v>
      </c>
    </row>
    <row r="566" spans="1:22">
      <c r="A566">
        <v>562</v>
      </c>
      <c r="B566" s="4">
        <v>46297.392060185186</v>
      </c>
      <c r="C566" s="5">
        <v>46297</v>
      </c>
      <c r="D566" s="6">
        <v>2.3924189814814816</v>
      </c>
      <c r="E566" s="5">
        <v>46297</v>
      </c>
      <c r="F566" t="s">
        <v>24</v>
      </c>
      <c r="G566" t="s">
        <v>25</v>
      </c>
      <c r="H566" t="s">
        <v>26</v>
      </c>
      <c r="I566" t="s">
        <v>27</v>
      </c>
      <c r="J566" t="s">
        <v>27</v>
      </c>
      <c r="K566" t="s">
        <v>483</v>
      </c>
      <c r="L566" s="2" t="s">
        <v>88</v>
      </c>
      <c r="M566" s="8" t="s">
        <v>89</v>
      </c>
      <c r="N566" s="7">
        <v>0.81</v>
      </c>
      <c r="O566" s="2">
        <v>1</v>
      </c>
      <c r="P566" s="7">
        <v>0.81</v>
      </c>
      <c r="Q566" s="7">
        <v>0</v>
      </c>
      <c r="R566" s="7">
        <v>0.13</v>
      </c>
      <c r="S566" s="7">
        <v>0.79</v>
      </c>
      <c r="T566" s="7">
        <v>0.94</v>
      </c>
      <c r="U566">
        <v>8</v>
      </c>
      <c r="V566">
        <v>8</v>
      </c>
    </row>
    <row r="567" spans="1:22">
      <c r="A567">
        <v>563</v>
      </c>
      <c r="B567" s="4">
        <v>46297.392546296294</v>
      </c>
      <c r="C567" s="5">
        <v>46297</v>
      </c>
      <c r="D567" s="6">
        <v>2.3925462962962962</v>
      </c>
      <c r="E567" s="5">
        <v>46297</v>
      </c>
      <c r="F567" t="s">
        <v>24</v>
      </c>
      <c r="G567" t="s">
        <v>25</v>
      </c>
      <c r="H567" t="s">
        <v>26</v>
      </c>
      <c r="I567" t="s">
        <v>27</v>
      </c>
      <c r="J567" t="s">
        <v>27</v>
      </c>
      <c r="K567" t="s">
        <v>486</v>
      </c>
      <c r="L567" s="2" t="s">
        <v>38</v>
      </c>
      <c r="M567" s="8" t="s">
        <v>39</v>
      </c>
      <c r="N567" s="7">
        <v>0.03</v>
      </c>
      <c r="O567" s="2">
        <v>4</v>
      </c>
      <c r="P567" s="7">
        <v>0.12</v>
      </c>
      <c r="Q567" s="7">
        <v>0</v>
      </c>
      <c r="R567" s="7">
        <v>0.02</v>
      </c>
      <c r="S567" s="7">
        <v>0.04</v>
      </c>
      <c r="T567" s="7">
        <v>0.14000000000000001</v>
      </c>
      <c r="U567">
        <v>8</v>
      </c>
      <c r="V567">
        <v>8</v>
      </c>
    </row>
    <row r="568" spans="1:22">
      <c r="A568">
        <v>564</v>
      </c>
      <c r="B568" s="4">
        <v>46297.397187499999</v>
      </c>
      <c r="C568" s="5">
        <v>46297</v>
      </c>
      <c r="D568" s="6">
        <v>2.3971874999999998</v>
      </c>
      <c r="E568" s="5">
        <v>46297</v>
      </c>
      <c r="F568" t="s">
        <v>24</v>
      </c>
      <c r="G568" t="s">
        <v>25</v>
      </c>
      <c r="H568" t="s">
        <v>26</v>
      </c>
      <c r="I568" t="s">
        <v>27</v>
      </c>
      <c r="J568" t="s">
        <v>27</v>
      </c>
      <c r="K568" t="s">
        <v>487</v>
      </c>
      <c r="L568" s="2" t="s">
        <v>146</v>
      </c>
      <c r="M568" s="8" t="s">
        <v>147</v>
      </c>
      <c r="N568" s="7">
        <v>2.16</v>
      </c>
      <c r="O568" s="2">
        <v>1</v>
      </c>
      <c r="P568" s="7">
        <v>2.16</v>
      </c>
      <c r="Q568" s="7">
        <v>0</v>
      </c>
      <c r="R568" s="7">
        <v>0.34</v>
      </c>
      <c r="S568" s="7">
        <v>2.09</v>
      </c>
      <c r="T568" s="7">
        <v>2.5</v>
      </c>
      <c r="U568">
        <v>8</v>
      </c>
      <c r="V568">
        <v>8</v>
      </c>
    </row>
    <row r="569" spans="1:22">
      <c r="A569">
        <v>565</v>
      </c>
      <c r="B569" s="4">
        <v>46297.397187499999</v>
      </c>
      <c r="C569" s="5">
        <v>46297</v>
      </c>
      <c r="D569" s="6">
        <v>2.3973842592592591</v>
      </c>
      <c r="E569" s="5">
        <v>46297</v>
      </c>
      <c r="F569" t="s">
        <v>24</v>
      </c>
      <c r="G569" t="s">
        <v>25</v>
      </c>
      <c r="H569" t="s">
        <v>26</v>
      </c>
      <c r="I569" t="s">
        <v>27</v>
      </c>
      <c r="J569" t="s">
        <v>27</v>
      </c>
      <c r="K569" t="s">
        <v>487</v>
      </c>
      <c r="L569" s="2" t="s">
        <v>92</v>
      </c>
      <c r="M569" s="8" t="s">
        <v>93</v>
      </c>
      <c r="N569" s="7">
        <v>0.65</v>
      </c>
      <c r="O569" s="2">
        <v>1</v>
      </c>
      <c r="P569" s="7">
        <v>0.65</v>
      </c>
      <c r="Q569" s="7">
        <v>0</v>
      </c>
      <c r="R569" s="7">
        <v>0.1</v>
      </c>
      <c r="S569" s="7">
        <v>0.63</v>
      </c>
      <c r="T569" s="7">
        <v>0.75</v>
      </c>
      <c r="U569">
        <v>8</v>
      </c>
      <c r="V569">
        <v>8</v>
      </c>
    </row>
    <row r="570" spans="1:22">
      <c r="A570">
        <v>566</v>
      </c>
      <c r="B570" s="4">
        <v>46297.399907407409</v>
      </c>
      <c r="C570" s="5">
        <v>46297</v>
      </c>
      <c r="D570" s="6">
        <v>2.3999074074074076</v>
      </c>
      <c r="E570" s="5">
        <v>46297</v>
      </c>
      <c r="F570" t="s">
        <v>24</v>
      </c>
      <c r="G570" t="s">
        <v>25</v>
      </c>
      <c r="H570" t="s">
        <v>26</v>
      </c>
      <c r="I570" t="s">
        <v>27</v>
      </c>
      <c r="J570" t="s">
        <v>27</v>
      </c>
      <c r="K570" t="s">
        <v>488</v>
      </c>
      <c r="L570" s="2" t="s">
        <v>489</v>
      </c>
      <c r="M570" s="8" t="s">
        <v>490</v>
      </c>
      <c r="N570" s="7">
        <v>1.56</v>
      </c>
      <c r="O570" s="2">
        <v>1</v>
      </c>
      <c r="P570" s="7">
        <v>1.56</v>
      </c>
      <c r="Q570" s="7">
        <v>0</v>
      </c>
      <c r="R570" s="7">
        <v>0</v>
      </c>
      <c r="S570" s="7">
        <v>0.42</v>
      </c>
      <c r="T570" s="7">
        <v>1.56</v>
      </c>
      <c r="U570">
        <v>8</v>
      </c>
      <c r="V570">
        <v>8</v>
      </c>
    </row>
    <row r="571" spans="1:22">
      <c r="A571">
        <v>567</v>
      </c>
      <c r="B571" s="4">
        <v>46297.402083333334</v>
      </c>
      <c r="C571" s="5">
        <v>46297</v>
      </c>
      <c r="D571" s="6">
        <v>2.4020833333333331</v>
      </c>
      <c r="E571" s="5">
        <v>46297</v>
      </c>
      <c r="F571" t="s">
        <v>24</v>
      </c>
      <c r="G571" t="s">
        <v>25</v>
      </c>
      <c r="H571" t="s">
        <v>26</v>
      </c>
      <c r="I571" t="s">
        <v>27</v>
      </c>
      <c r="J571" t="s">
        <v>27</v>
      </c>
      <c r="K571" t="s">
        <v>491</v>
      </c>
      <c r="L571" s="2" t="s">
        <v>105</v>
      </c>
      <c r="M571" s="8" t="s">
        <v>106</v>
      </c>
      <c r="N571" s="7">
        <v>0.38</v>
      </c>
      <c r="O571" s="2">
        <v>1</v>
      </c>
      <c r="P571" s="7">
        <v>0.38</v>
      </c>
      <c r="Q571" s="7">
        <v>0</v>
      </c>
      <c r="R571" s="7">
        <v>0.06</v>
      </c>
      <c r="S571" s="7">
        <v>0.37</v>
      </c>
      <c r="T571" s="7">
        <v>0.44</v>
      </c>
      <c r="U571">
        <v>8</v>
      </c>
      <c r="V571">
        <v>8</v>
      </c>
    </row>
    <row r="572" spans="1:22">
      <c r="A572">
        <v>568</v>
      </c>
      <c r="B572" s="4">
        <v>46297.402754629627</v>
      </c>
      <c r="C572" s="5">
        <v>46297</v>
      </c>
      <c r="D572" s="6">
        <v>2.4027546296296296</v>
      </c>
      <c r="E572" s="5">
        <v>46297</v>
      </c>
      <c r="F572" t="s">
        <v>24</v>
      </c>
      <c r="G572" t="s">
        <v>25</v>
      </c>
      <c r="H572" t="s">
        <v>26</v>
      </c>
      <c r="I572" t="s">
        <v>27</v>
      </c>
      <c r="J572" t="s">
        <v>27</v>
      </c>
      <c r="K572" t="s">
        <v>492</v>
      </c>
      <c r="L572" s="2" t="s">
        <v>88</v>
      </c>
      <c r="M572" s="8" t="s">
        <v>89</v>
      </c>
      <c r="N572" s="7">
        <v>0.81</v>
      </c>
      <c r="O572" s="2">
        <v>1</v>
      </c>
      <c r="P572" s="7">
        <v>0.81</v>
      </c>
      <c r="Q572" s="7">
        <v>0</v>
      </c>
      <c r="R572" s="7">
        <v>0.13</v>
      </c>
      <c r="S572" s="7">
        <v>0.79</v>
      </c>
      <c r="T572" s="7">
        <v>0.94</v>
      </c>
      <c r="U572">
        <v>8</v>
      </c>
      <c r="V572">
        <v>8</v>
      </c>
    </row>
    <row r="573" spans="1:22">
      <c r="A573">
        <v>569</v>
      </c>
      <c r="B573" s="4">
        <v>46297.409456018519</v>
      </c>
      <c r="C573" s="5">
        <v>46297</v>
      </c>
      <c r="D573" s="6">
        <v>2.4094560185185183</v>
      </c>
      <c r="E573" s="5">
        <v>46297</v>
      </c>
      <c r="F573" t="s">
        <v>24</v>
      </c>
      <c r="G573" t="s">
        <v>25</v>
      </c>
      <c r="H573" t="s">
        <v>26</v>
      </c>
      <c r="I573" t="s">
        <v>27</v>
      </c>
      <c r="J573" t="s">
        <v>27</v>
      </c>
      <c r="K573" t="s">
        <v>493</v>
      </c>
      <c r="L573" s="2" t="s">
        <v>445</v>
      </c>
      <c r="M573" s="8" t="s">
        <v>446</v>
      </c>
      <c r="N573" s="7">
        <v>1.9</v>
      </c>
      <c r="O573" s="2">
        <v>2</v>
      </c>
      <c r="P573" s="7">
        <v>3.8</v>
      </c>
      <c r="Q573" s="7">
        <v>0</v>
      </c>
      <c r="R573" s="7">
        <v>0.59</v>
      </c>
      <c r="S573" s="7">
        <v>1.01</v>
      </c>
      <c r="T573" s="7">
        <v>4.3899999999999997</v>
      </c>
      <c r="U573">
        <v>8</v>
      </c>
      <c r="V573">
        <v>8</v>
      </c>
    </row>
    <row r="574" spans="1:22">
      <c r="A574">
        <v>570</v>
      </c>
      <c r="B574" s="4">
        <v>46297.422569444447</v>
      </c>
      <c r="C574" s="5">
        <v>46297</v>
      </c>
      <c r="D574" s="6">
        <v>2.4225578703703703</v>
      </c>
      <c r="E574" s="5">
        <v>46297</v>
      </c>
      <c r="F574" t="s">
        <v>24</v>
      </c>
      <c r="G574" t="s">
        <v>25</v>
      </c>
      <c r="H574" t="s">
        <v>26</v>
      </c>
      <c r="I574" t="s">
        <v>27</v>
      </c>
      <c r="J574" t="s">
        <v>27</v>
      </c>
      <c r="K574" t="s">
        <v>494</v>
      </c>
      <c r="L574" s="2" t="s">
        <v>88</v>
      </c>
      <c r="M574" s="8" t="s">
        <v>89</v>
      </c>
      <c r="N574" s="7">
        <v>0.81</v>
      </c>
      <c r="O574" s="2">
        <v>1</v>
      </c>
      <c r="P574" s="7">
        <v>0.81</v>
      </c>
      <c r="Q574" s="7">
        <v>0</v>
      </c>
      <c r="R574" s="7">
        <v>0.13</v>
      </c>
      <c r="S574" s="7">
        <v>0.79</v>
      </c>
      <c r="T574" s="7">
        <v>0.94</v>
      </c>
      <c r="U574">
        <v>8</v>
      </c>
      <c r="V574">
        <v>8</v>
      </c>
    </row>
    <row r="575" spans="1:22">
      <c r="A575">
        <v>571</v>
      </c>
      <c r="B575" s="4">
        <v>46297.423078703701</v>
      </c>
      <c r="C575" s="5">
        <v>46297</v>
      </c>
      <c r="D575" s="6">
        <v>2.4230671296296298</v>
      </c>
      <c r="E575" s="5">
        <v>46297</v>
      </c>
      <c r="F575" t="s">
        <v>24</v>
      </c>
      <c r="G575" t="s">
        <v>25</v>
      </c>
      <c r="H575" t="s">
        <v>26</v>
      </c>
      <c r="I575" t="s">
        <v>27</v>
      </c>
      <c r="J575" t="s">
        <v>27</v>
      </c>
      <c r="K575" t="s">
        <v>495</v>
      </c>
      <c r="L575" s="2" t="s">
        <v>45</v>
      </c>
      <c r="M575" s="8" t="s">
        <v>46</v>
      </c>
      <c r="N575" s="7">
        <v>0.75</v>
      </c>
      <c r="O575" s="2">
        <v>1</v>
      </c>
      <c r="P575" s="7">
        <v>0.75</v>
      </c>
      <c r="Q575" s="7">
        <v>0</v>
      </c>
      <c r="R575" s="7">
        <v>0</v>
      </c>
      <c r="S575" s="7">
        <v>0.34</v>
      </c>
      <c r="T575" s="7">
        <v>0.75</v>
      </c>
      <c r="U575">
        <v>8</v>
      </c>
      <c r="V575">
        <v>8</v>
      </c>
    </row>
    <row r="576" spans="1:22">
      <c r="A576">
        <v>572</v>
      </c>
      <c r="B576" s="4">
        <v>46297.432627314818</v>
      </c>
      <c r="C576" s="5">
        <v>46297</v>
      </c>
      <c r="D576" s="6">
        <v>2.4326273148148148</v>
      </c>
      <c r="E576" s="5">
        <v>46297</v>
      </c>
      <c r="F576" t="s">
        <v>24</v>
      </c>
      <c r="G576" t="s">
        <v>25</v>
      </c>
      <c r="H576" t="s">
        <v>26</v>
      </c>
      <c r="I576" t="s">
        <v>27</v>
      </c>
      <c r="J576" t="s">
        <v>27</v>
      </c>
      <c r="K576" t="s">
        <v>496</v>
      </c>
      <c r="L576" s="2" t="s">
        <v>218</v>
      </c>
      <c r="M576" s="8" t="s">
        <v>219</v>
      </c>
      <c r="N576" s="7">
        <v>1.63</v>
      </c>
      <c r="O576" s="2">
        <v>1</v>
      </c>
      <c r="P576" s="7">
        <v>1.63</v>
      </c>
      <c r="Q576" s="7">
        <v>0</v>
      </c>
      <c r="R576" s="7">
        <v>0.25</v>
      </c>
      <c r="S576" s="7">
        <v>1.57</v>
      </c>
      <c r="T576" s="7">
        <v>1.88</v>
      </c>
      <c r="U576">
        <v>8</v>
      </c>
      <c r="V576">
        <v>8</v>
      </c>
    </row>
    <row r="577" spans="1:22">
      <c r="A577">
        <v>573</v>
      </c>
      <c r="B577" s="4">
        <v>46297.43476851852</v>
      </c>
      <c r="C577" s="5">
        <v>46297</v>
      </c>
      <c r="D577" s="6">
        <v>2.4347685185185184</v>
      </c>
      <c r="E577" s="5">
        <v>46297</v>
      </c>
      <c r="F577" t="s">
        <v>24</v>
      </c>
      <c r="G577" t="s">
        <v>25</v>
      </c>
      <c r="H577" t="s">
        <v>26</v>
      </c>
      <c r="I577" t="s">
        <v>27</v>
      </c>
      <c r="J577" t="s">
        <v>27</v>
      </c>
      <c r="K577" t="s">
        <v>497</v>
      </c>
      <c r="L577" s="2" t="s">
        <v>437</v>
      </c>
      <c r="M577" s="8" t="s">
        <v>438</v>
      </c>
      <c r="N577" s="7">
        <v>1.08</v>
      </c>
      <c r="O577" s="2">
        <v>1</v>
      </c>
      <c r="P577" s="7">
        <v>1.08</v>
      </c>
      <c r="Q577" s="7">
        <v>0</v>
      </c>
      <c r="R577" s="7">
        <v>0.17</v>
      </c>
      <c r="S577" s="7">
        <v>0.26</v>
      </c>
      <c r="T577" s="7">
        <v>1.25</v>
      </c>
      <c r="U577">
        <v>8</v>
      </c>
      <c r="V577">
        <v>8</v>
      </c>
    </row>
    <row r="578" spans="1:22">
      <c r="A578">
        <v>574</v>
      </c>
      <c r="B578" s="4">
        <v>46297.43476851852</v>
      </c>
      <c r="C578" s="5">
        <v>46297</v>
      </c>
      <c r="D578" s="6">
        <v>2.4349305555555554</v>
      </c>
      <c r="E578" s="5">
        <v>46297</v>
      </c>
      <c r="F578" t="s">
        <v>24</v>
      </c>
      <c r="G578" t="s">
        <v>25</v>
      </c>
      <c r="H578" t="s">
        <v>26</v>
      </c>
      <c r="I578" t="s">
        <v>27</v>
      </c>
      <c r="J578" t="s">
        <v>27</v>
      </c>
      <c r="K578" t="s">
        <v>497</v>
      </c>
      <c r="L578" s="2" t="s">
        <v>113</v>
      </c>
      <c r="M578" s="8" t="s">
        <v>114</v>
      </c>
      <c r="N578" s="7">
        <v>1.08</v>
      </c>
      <c r="O578" s="2">
        <v>1</v>
      </c>
      <c r="P578" s="7">
        <v>1.08</v>
      </c>
      <c r="Q578" s="7">
        <v>0</v>
      </c>
      <c r="R578" s="7">
        <v>0.17</v>
      </c>
      <c r="S578" s="7">
        <v>0.26</v>
      </c>
      <c r="T578" s="7">
        <v>1.25</v>
      </c>
      <c r="U578">
        <v>8</v>
      </c>
      <c r="V578">
        <v>8</v>
      </c>
    </row>
    <row r="579" spans="1:22">
      <c r="A579">
        <v>575</v>
      </c>
      <c r="B579" s="4">
        <v>46297.435717592591</v>
      </c>
      <c r="C579" s="5">
        <v>46297</v>
      </c>
      <c r="D579" s="6">
        <v>2.4357060185185184</v>
      </c>
      <c r="E579" s="5">
        <v>46297</v>
      </c>
      <c r="F579" t="s">
        <v>24</v>
      </c>
      <c r="G579" t="s">
        <v>25</v>
      </c>
      <c r="H579" t="s">
        <v>26</v>
      </c>
      <c r="I579" t="s">
        <v>27</v>
      </c>
      <c r="J579" t="s">
        <v>27</v>
      </c>
      <c r="K579" t="s">
        <v>498</v>
      </c>
      <c r="L579" s="2" t="s">
        <v>149</v>
      </c>
      <c r="M579" s="8" t="s">
        <v>150</v>
      </c>
      <c r="N579" s="7">
        <v>0.55000000000000004</v>
      </c>
      <c r="O579" s="2">
        <v>1</v>
      </c>
      <c r="P579" s="7">
        <v>0.55000000000000004</v>
      </c>
      <c r="Q579" s="7">
        <v>0</v>
      </c>
      <c r="R579" s="7">
        <v>0.08</v>
      </c>
      <c r="S579" s="7">
        <v>0.54</v>
      </c>
      <c r="T579" s="7">
        <v>0.63</v>
      </c>
      <c r="U579">
        <v>8</v>
      </c>
      <c r="V579">
        <v>8</v>
      </c>
    </row>
    <row r="580" spans="1:22">
      <c r="A580">
        <v>576</v>
      </c>
      <c r="B580" s="4">
        <v>46297.436076388891</v>
      </c>
      <c r="C580" s="5">
        <v>46297</v>
      </c>
      <c r="D580" s="6">
        <v>2.436076388888889</v>
      </c>
      <c r="E580" s="5">
        <v>46297</v>
      </c>
      <c r="F580" t="s">
        <v>24</v>
      </c>
      <c r="G580" t="s">
        <v>25</v>
      </c>
      <c r="H580" t="s">
        <v>26</v>
      </c>
      <c r="I580" t="s">
        <v>27</v>
      </c>
      <c r="J580" t="s">
        <v>27</v>
      </c>
      <c r="K580" t="s">
        <v>499</v>
      </c>
      <c r="L580" s="2" t="s">
        <v>143</v>
      </c>
      <c r="M580" s="8" t="s">
        <v>144</v>
      </c>
      <c r="N580" s="7">
        <v>1.25</v>
      </c>
      <c r="O580" s="2">
        <v>1</v>
      </c>
      <c r="P580" s="7">
        <v>1.25</v>
      </c>
      <c r="Q580" s="7">
        <v>0</v>
      </c>
      <c r="R580" s="7">
        <v>0</v>
      </c>
      <c r="S580" s="7">
        <v>1.21</v>
      </c>
      <c r="T580" s="7">
        <v>1.25</v>
      </c>
      <c r="U580">
        <v>8</v>
      </c>
      <c r="V580">
        <v>8</v>
      </c>
    </row>
    <row r="581" spans="1:22">
      <c r="A581">
        <v>577</v>
      </c>
      <c r="B581" s="4">
        <v>46297.43949074074</v>
      </c>
      <c r="C581" s="5">
        <v>46297</v>
      </c>
      <c r="D581" s="6">
        <v>2.4394791666666666</v>
      </c>
      <c r="E581" s="5">
        <v>46297</v>
      </c>
      <c r="F581" t="s">
        <v>24</v>
      </c>
      <c r="G581" t="s">
        <v>25</v>
      </c>
      <c r="H581" t="s">
        <v>26</v>
      </c>
      <c r="I581" t="s">
        <v>27</v>
      </c>
      <c r="J581" t="s">
        <v>27</v>
      </c>
      <c r="K581" t="s">
        <v>500</v>
      </c>
      <c r="L581" s="3" t="s">
        <v>231</v>
      </c>
      <c r="M581" s="8" t="s">
        <v>232</v>
      </c>
      <c r="N581" s="7">
        <v>0.55000000000000004</v>
      </c>
      <c r="O581" s="2">
        <v>1</v>
      </c>
      <c r="P581" s="7">
        <v>0.55000000000000004</v>
      </c>
      <c r="Q581" s="7">
        <v>0</v>
      </c>
      <c r="R581" s="7">
        <v>0.08</v>
      </c>
      <c r="S581" s="7">
        <v>0.54</v>
      </c>
      <c r="T581" s="7">
        <v>0.63</v>
      </c>
      <c r="U581">
        <v>8</v>
      </c>
      <c r="V581">
        <v>8</v>
      </c>
    </row>
    <row r="582" spans="1:22">
      <c r="A582">
        <v>578</v>
      </c>
      <c r="B582" s="4">
        <v>46297.443437499998</v>
      </c>
      <c r="C582" s="5">
        <v>46297</v>
      </c>
      <c r="D582" s="6">
        <v>2.4434259259259261</v>
      </c>
      <c r="E582" s="5">
        <v>46297</v>
      </c>
      <c r="F582" t="s">
        <v>24</v>
      </c>
      <c r="G582" t="s">
        <v>25</v>
      </c>
      <c r="H582" t="s">
        <v>26</v>
      </c>
      <c r="I582" t="s">
        <v>27</v>
      </c>
      <c r="J582" t="s">
        <v>27</v>
      </c>
      <c r="K582" t="s">
        <v>501</v>
      </c>
      <c r="L582" s="2" t="s">
        <v>88</v>
      </c>
      <c r="M582" s="8" t="s">
        <v>89</v>
      </c>
      <c r="N582" s="7">
        <v>0.81</v>
      </c>
      <c r="O582" s="2">
        <v>2</v>
      </c>
      <c r="P582" s="7">
        <v>1.62</v>
      </c>
      <c r="Q582" s="7">
        <v>0</v>
      </c>
      <c r="R582" s="7">
        <v>0.25</v>
      </c>
      <c r="S582" s="7">
        <v>1.57</v>
      </c>
      <c r="T582" s="7">
        <v>1.87</v>
      </c>
      <c r="U582">
        <v>8</v>
      </c>
      <c r="V582">
        <v>8</v>
      </c>
    </row>
    <row r="583" spans="1:22">
      <c r="A583">
        <v>579</v>
      </c>
      <c r="B583" s="4">
        <v>46297.443437499998</v>
      </c>
      <c r="C583" s="5">
        <v>46297</v>
      </c>
      <c r="D583" s="6">
        <v>2.4435185185185184</v>
      </c>
      <c r="E583" s="5">
        <v>46297</v>
      </c>
      <c r="F583" t="s">
        <v>24</v>
      </c>
      <c r="G583" t="s">
        <v>25</v>
      </c>
      <c r="H583" t="s">
        <v>26</v>
      </c>
      <c r="I583" t="s">
        <v>27</v>
      </c>
      <c r="J583" t="s">
        <v>27</v>
      </c>
      <c r="K583" t="s">
        <v>501</v>
      </c>
      <c r="L583" s="2" t="s">
        <v>265</v>
      </c>
      <c r="M583" s="8" t="s">
        <v>266</v>
      </c>
      <c r="N583" s="7">
        <v>1.9</v>
      </c>
      <c r="O583" s="2">
        <v>1</v>
      </c>
      <c r="P583" s="7">
        <v>1.9</v>
      </c>
      <c r="Q583" s="7">
        <v>0</v>
      </c>
      <c r="R583" s="7">
        <v>0.28999999999999998</v>
      </c>
      <c r="S583" s="7">
        <v>0.56999999999999995</v>
      </c>
      <c r="T583" s="7">
        <v>2.19</v>
      </c>
      <c r="U583">
        <v>8</v>
      </c>
      <c r="V583">
        <v>8</v>
      </c>
    </row>
    <row r="584" spans="1:22">
      <c r="A584">
        <v>580</v>
      </c>
      <c r="B584" s="4">
        <v>46297.454155092593</v>
      </c>
      <c r="C584" s="5">
        <v>46297</v>
      </c>
      <c r="D584" s="6">
        <v>2.4541550925925928</v>
      </c>
      <c r="E584" s="5">
        <v>46297</v>
      </c>
      <c r="F584" t="s">
        <v>24</v>
      </c>
      <c r="G584" t="s">
        <v>25</v>
      </c>
      <c r="H584" t="s">
        <v>26</v>
      </c>
      <c r="I584" t="s">
        <v>27</v>
      </c>
      <c r="J584" t="s">
        <v>27</v>
      </c>
      <c r="K584" t="s">
        <v>502</v>
      </c>
      <c r="L584" s="2" t="s">
        <v>50</v>
      </c>
      <c r="M584" s="8" t="s">
        <v>51</v>
      </c>
      <c r="N584" s="7">
        <v>0.43</v>
      </c>
      <c r="O584" s="2">
        <v>1</v>
      </c>
      <c r="P584" s="7">
        <v>0.43</v>
      </c>
      <c r="Q584" s="7">
        <v>0</v>
      </c>
      <c r="R584" s="7">
        <v>7.0000000000000007E-2</v>
      </c>
      <c r="S584" s="7">
        <v>0.41</v>
      </c>
      <c r="T584" s="7">
        <v>0.5</v>
      </c>
      <c r="U584">
        <v>8</v>
      </c>
      <c r="V584">
        <v>8</v>
      </c>
    </row>
    <row r="585" spans="1:22">
      <c r="A585">
        <v>581</v>
      </c>
      <c r="B585" s="4">
        <v>46297.454155092593</v>
      </c>
      <c r="C585" s="5">
        <v>46297</v>
      </c>
      <c r="D585" s="6">
        <v>2.4542361111111113</v>
      </c>
      <c r="E585" s="5">
        <v>46297</v>
      </c>
      <c r="F585" t="s">
        <v>24</v>
      </c>
      <c r="G585" t="s">
        <v>25</v>
      </c>
      <c r="H585" t="s">
        <v>26</v>
      </c>
      <c r="I585" t="s">
        <v>27</v>
      </c>
      <c r="J585" t="s">
        <v>27</v>
      </c>
      <c r="K585" t="s">
        <v>502</v>
      </c>
      <c r="L585" s="2" t="s">
        <v>224</v>
      </c>
      <c r="M585" s="8" t="s">
        <v>225</v>
      </c>
      <c r="N585" s="7">
        <v>0.81</v>
      </c>
      <c r="O585" s="2">
        <v>1</v>
      </c>
      <c r="P585" s="7">
        <v>0.81</v>
      </c>
      <c r="Q585" s="7">
        <v>0</v>
      </c>
      <c r="R585" s="7">
        <v>0.13</v>
      </c>
      <c r="S585" s="7">
        <v>0.79</v>
      </c>
      <c r="T585" s="7">
        <v>0.94</v>
      </c>
      <c r="U585">
        <v>8</v>
      </c>
      <c r="V585">
        <v>8</v>
      </c>
    </row>
    <row r="586" spans="1:22">
      <c r="A586">
        <v>582</v>
      </c>
      <c r="B586" s="4">
        <v>46297.463043981479</v>
      </c>
      <c r="C586" s="5">
        <v>46297</v>
      </c>
      <c r="D586" s="6">
        <v>2.4630439814814813</v>
      </c>
      <c r="E586" s="5">
        <v>46297</v>
      </c>
      <c r="F586" t="s">
        <v>24</v>
      </c>
      <c r="G586" t="s">
        <v>25</v>
      </c>
      <c r="H586" t="s">
        <v>26</v>
      </c>
      <c r="I586" t="s">
        <v>27</v>
      </c>
      <c r="J586" t="s">
        <v>27</v>
      </c>
      <c r="K586" t="s">
        <v>503</v>
      </c>
      <c r="L586" s="3" t="s">
        <v>231</v>
      </c>
      <c r="M586" s="8" t="s">
        <v>232</v>
      </c>
      <c r="N586" s="7">
        <v>0.55000000000000004</v>
      </c>
      <c r="O586" s="2">
        <v>4</v>
      </c>
      <c r="P586" s="7">
        <v>2.2000000000000002</v>
      </c>
      <c r="Q586" s="7">
        <v>0</v>
      </c>
      <c r="R586" s="7">
        <v>0.34</v>
      </c>
      <c r="S586" s="7">
        <v>2.15</v>
      </c>
      <c r="T586" s="7">
        <v>2.54</v>
      </c>
      <c r="U586">
        <v>8</v>
      </c>
      <c r="V586">
        <v>8</v>
      </c>
    </row>
    <row r="587" spans="1:22">
      <c r="A587">
        <v>583</v>
      </c>
      <c r="B587" s="4">
        <v>46297.463043981479</v>
      </c>
      <c r="C587" s="5">
        <v>46297</v>
      </c>
      <c r="D587" s="6">
        <v>2.4631018518518517</v>
      </c>
      <c r="E587" s="5">
        <v>46297</v>
      </c>
      <c r="F587" t="s">
        <v>24</v>
      </c>
      <c r="G587" t="s">
        <v>25</v>
      </c>
      <c r="H587" t="s">
        <v>26</v>
      </c>
      <c r="I587" t="s">
        <v>27</v>
      </c>
      <c r="J587" t="s">
        <v>27</v>
      </c>
      <c r="K587" t="s">
        <v>503</v>
      </c>
      <c r="L587" s="2" t="s">
        <v>81</v>
      </c>
      <c r="M587" s="8" t="s">
        <v>82</v>
      </c>
      <c r="N587" s="7">
        <v>1.08</v>
      </c>
      <c r="O587" s="2">
        <v>2</v>
      </c>
      <c r="P587" s="7">
        <v>2.16</v>
      </c>
      <c r="Q587" s="7">
        <v>0</v>
      </c>
      <c r="R587" s="7">
        <v>0.34</v>
      </c>
      <c r="S587" s="7">
        <v>0.51</v>
      </c>
      <c r="T587" s="7">
        <v>2.5</v>
      </c>
      <c r="U587">
        <v>8</v>
      </c>
      <c r="V587">
        <v>8</v>
      </c>
    </row>
    <row r="588" spans="1:22">
      <c r="A588">
        <v>584</v>
      </c>
      <c r="B588" s="4">
        <v>46297.464479166665</v>
      </c>
      <c r="C588" s="5">
        <v>46297</v>
      </c>
      <c r="D588" s="6">
        <v>2.4644675925925927</v>
      </c>
      <c r="E588" s="5">
        <v>46297</v>
      </c>
      <c r="F588" t="s">
        <v>24</v>
      </c>
      <c r="G588" t="s">
        <v>25</v>
      </c>
      <c r="H588" t="s">
        <v>26</v>
      </c>
      <c r="I588" t="s">
        <v>27</v>
      </c>
      <c r="J588" t="s">
        <v>27</v>
      </c>
      <c r="K588" t="s">
        <v>504</v>
      </c>
      <c r="L588" s="2" t="s">
        <v>344</v>
      </c>
      <c r="M588" s="8" t="s">
        <v>345</v>
      </c>
      <c r="N588" s="7">
        <v>0.38</v>
      </c>
      <c r="O588" s="2">
        <v>3</v>
      </c>
      <c r="P588" s="7">
        <v>1.1399999999999999</v>
      </c>
      <c r="Q588" s="7">
        <v>0</v>
      </c>
      <c r="R588" s="7">
        <v>0.18</v>
      </c>
      <c r="S588" s="7">
        <v>1.1100000000000001</v>
      </c>
      <c r="T588" s="7">
        <v>1.32</v>
      </c>
      <c r="U588">
        <v>8</v>
      </c>
      <c r="V588">
        <v>8</v>
      </c>
    </row>
    <row r="589" spans="1:22">
      <c r="A589">
        <v>585</v>
      </c>
      <c r="B589" s="4">
        <v>46297.464479166665</v>
      </c>
      <c r="C589" s="5">
        <v>46297</v>
      </c>
      <c r="D589" s="6">
        <v>2.4657291666666667</v>
      </c>
      <c r="E589" s="5">
        <v>46297</v>
      </c>
      <c r="F589" t="s">
        <v>24</v>
      </c>
      <c r="G589" t="s">
        <v>25</v>
      </c>
      <c r="H589" t="s">
        <v>26</v>
      </c>
      <c r="I589" t="s">
        <v>27</v>
      </c>
      <c r="J589" t="s">
        <v>27</v>
      </c>
      <c r="K589" t="s">
        <v>504</v>
      </c>
      <c r="L589" s="2" t="s">
        <v>59</v>
      </c>
      <c r="M589" s="8" t="s">
        <v>60</v>
      </c>
      <c r="N589" s="7">
        <v>0.31</v>
      </c>
      <c r="O589" s="2">
        <v>6</v>
      </c>
      <c r="P589" s="7">
        <v>1.86</v>
      </c>
      <c r="Q589" s="7">
        <v>0</v>
      </c>
      <c r="R589" s="7">
        <v>0</v>
      </c>
      <c r="S589" s="7">
        <v>1.8</v>
      </c>
      <c r="T589" s="7">
        <v>1.86</v>
      </c>
      <c r="U589">
        <v>8</v>
      </c>
      <c r="V589">
        <v>8</v>
      </c>
    </row>
    <row r="590" spans="1:22">
      <c r="A590">
        <v>586</v>
      </c>
      <c r="B590" s="4">
        <v>46297.475069444445</v>
      </c>
      <c r="C590" s="5">
        <v>46297</v>
      </c>
      <c r="D590" s="6">
        <v>2.4750694444444443</v>
      </c>
      <c r="E590" s="5">
        <v>46297</v>
      </c>
      <c r="F590" t="s">
        <v>24</v>
      </c>
      <c r="G590" t="s">
        <v>25</v>
      </c>
      <c r="H590" t="s">
        <v>26</v>
      </c>
      <c r="I590" t="s">
        <v>27</v>
      </c>
      <c r="J590" t="s">
        <v>27</v>
      </c>
      <c r="K590" t="s">
        <v>505</v>
      </c>
      <c r="L590" s="2" t="s">
        <v>96</v>
      </c>
      <c r="M590" s="8" t="s">
        <v>97</v>
      </c>
      <c r="N590" s="7">
        <v>1.63</v>
      </c>
      <c r="O590" s="2">
        <v>1</v>
      </c>
      <c r="P590" s="7">
        <v>1.63</v>
      </c>
      <c r="Q590" s="7">
        <v>0</v>
      </c>
      <c r="R590" s="7">
        <v>0.25</v>
      </c>
      <c r="S590" s="7">
        <v>1.56</v>
      </c>
      <c r="T590" s="7">
        <v>1.88</v>
      </c>
      <c r="U590">
        <v>8</v>
      </c>
      <c r="V590">
        <v>8</v>
      </c>
    </row>
    <row r="591" spans="1:22">
      <c r="A591">
        <v>587</v>
      </c>
      <c r="B591" s="4">
        <v>46297.478726851848</v>
      </c>
      <c r="C591" s="5">
        <v>46297</v>
      </c>
      <c r="D591" s="6">
        <v>2.4787152777777779</v>
      </c>
      <c r="E591" s="5">
        <v>46297</v>
      </c>
      <c r="F591" t="s">
        <v>24</v>
      </c>
      <c r="G591" t="s">
        <v>25</v>
      </c>
      <c r="H591" t="s">
        <v>26</v>
      </c>
      <c r="I591" t="s">
        <v>27</v>
      </c>
      <c r="J591" t="s">
        <v>27</v>
      </c>
      <c r="K591" t="s">
        <v>506</v>
      </c>
      <c r="L591" s="2" t="s">
        <v>38</v>
      </c>
      <c r="M591" s="8" t="s">
        <v>39</v>
      </c>
      <c r="N591" s="7">
        <v>0.03</v>
      </c>
      <c r="O591" s="2">
        <v>5</v>
      </c>
      <c r="P591" s="7">
        <v>0.15</v>
      </c>
      <c r="Q591" s="7">
        <v>0</v>
      </c>
      <c r="R591" s="7">
        <v>0.02</v>
      </c>
      <c r="S591" s="7">
        <v>0.05</v>
      </c>
      <c r="T591" s="7">
        <v>0.17</v>
      </c>
      <c r="U591">
        <v>8</v>
      </c>
      <c r="V591">
        <v>8</v>
      </c>
    </row>
    <row r="592" spans="1:22">
      <c r="A592">
        <v>588</v>
      </c>
      <c r="B592" s="4">
        <v>46297.481770833336</v>
      </c>
      <c r="C592" s="5">
        <v>46297</v>
      </c>
      <c r="D592" s="6">
        <v>2.4817708333333335</v>
      </c>
      <c r="E592" s="5">
        <v>46297</v>
      </c>
      <c r="F592" t="s">
        <v>24</v>
      </c>
      <c r="G592" t="s">
        <v>25</v>
      </c>
      <c r="H592" t="s">
        <v>26</v>
      </c>
      <c r="I592" t="s">
        <v>27</v>
      </c>
      <c r="J592" t="s">
        <v>27</v>
      </c>
      <c r="K592" t="s">
        <v>507</v>
      </c>
      <c r="L592" s="2" t="s">
        <v>283</v>
      </c>
      <c r="M592" s="8" t="s">
        <v>284</v>
      </c>
      <c r="N592" s="7">
        <v>1.08</v>
      </c>
      <c r="O592" s="2">
        <v>1</v>
      </c>
      <c r="P592" s="7">
        <v>1.08</v>
      </c>
      <c r="Q592" s="7">
        <v>0</v>
      </c>
      <c r="R592" s="7">
        <v>0.17</v>
      </c>
      <c r="S592" s="7">
        <v>0.43</v>
      </c>
      <c r="T592" s="7">
        <v>1.25</v>
      </c>
      <c r="U592">
        <v>8</v>
      </c>
      <c r="V592">
        <v>8</v>
      </c>
    </row>
    <row r="593" spans="1:22">
      <c r="A593">
        <v>589</v>
      </c>
      <c r="B593" s="4">
        <v>46297.490405092591</v>
      </c>
      <c r="C593" s="5">
        <v>46297</v>
      </c>
      <c r="D593" s="6">
        <v>2.4904050925925927</v>
      </c>
      <c r="E593" s="5">
        <v>46297</v>
      </c>
      <c r="F593" t="s">
        <v>24</v>
      </c>
      <c r="G593" t="s">
        <v>25</v>
      </c>
      <c r="H593" t="s">
        <v>26</v>
      </c>
      <c r="I593" t="s">
        <v>27</v>
      </c>
      <c r="J593" t="s">
        <v>27</v>
      </c>
      <c r="K593" t="s">
        <v>508</v>
      </c>
      <c r="L593" s="3" t="s">
        <v>231</v>
      </c>
      <c r="M593" s="8" t="s">
        <v>232</v>
      </c>
      <c r="N593" s="7">
        <v>0.55000000000000004</v>
      </c>
      <c r="O593" s="2">
        <v>1</v>
      </c>
      <c r="P593" s="7">
        <v>0.55000000000000004</v>
      </c>
      <c r="Q593" s="7">
        <v>0</v>
      </c>
      <c r="R593" s="7">
        <v>0.08</v>
      </c>
      <c r="S593" s="7">
        <v>0.54</v>
      </c>
      <c r="T593" s="7">
        <v>0.63</v>
      </c>
      <c r="U593">
        <v>8</v>
      </c>
      <c r="V593">
        <v>8</v>
      </c>
    </row>
    <row r="594" spans="1:22">
      <c r="A594">
        <v>590</v>
      </c>
      <c r="B594" s="4">
        <v>46297.490659722222</v>
      </c>
      <c r="C594" s="5">
        <v>46297</v>
      </c>
      <c r="D594" s="6">
        <v>2.4906481481481482</v>
      </c>
      <c r="E594" s="5">
        <v>46297</v>
      </c>
      <c r="F594" t="s">
        <v>24</v>
      </c>
      <c r="G594" t="s">
        <v>25</v>
      </c>
      <c r="H594" t="s">
        <v>26</v>
      </c>
      <c r="I594" t="s">
        <v>27</v>
      </c>
      <c r="J594" t="s">
        <v>27</v>
      </c>
      <c r="K594" t="s">
        <v>509</v>
      </c>
      <c r="L594" s="2" t="s">
        <v>146</v>
      </c>
      <c r="M594" s="8" t="s">
        <v>147</v>
      </c>
      <c r="N594" s="7">
        <v>2.16</v>
      </c>
      <c r="O594" s="2">
        <v>1</v>
      </c>
      <c r="P594" s="7">
        <v>2.16</v>
      </c>
      <c r="Q594" s="7">
        <v>0</v>
      </c>
      <c r="R594" s="7">
        <v>0.34</v>
      </c>
      <c r="S594" s="7">
        <v>2.09</v>
      </c>
      <c r="T594" s="7">
        <v>2.5</v>
      </c>
      <c r="U594">
        <v>8</v>
      </c>
      <c r="V594">
        <v>8</v>
      </c>
    </row>
    <row r="595" spans="1:22">
      <c r="A595">
        <v>591</v>
      </c>
      <c r="B595" s="4">
        <v>46297.490659722222</v>
      </c>
      <c r="C595" s="5">
        <v>46297</v>
      </c>
      <c r="D595" s="6">
        <v>2.4913194444444446</v>
      </c>
      <c r="E595" s="5">
        <v>46297</v>
      </c>
      <c r="F595" t="s">
        <v>24</v>
      </c>
      <c r="G595" t="s">
        <v>25</v>
      </c>
      <c r="H595" t="s">
        <v>26</v>
      </c>
      <c r="I595" t="s">
        <v>27</v>
      </c>
      <c r="J595" t="s">
        <v>27</v>
      </c>
      <c r="K595" t="s">
        <v>509</v>
      </c>
      <c r="L595" s="2" t="s">
        <v>474</v>
      </c>
      <c r="M595" s="8" t="s">
        <v>475</v>
      </c>
      <c r="N595" s="7">
        <v>1.25</v>
      </c>
      <c r="O595" s="2">
        <v>2</v>
      </c>
      <c r="P595" s="7">
        <v>2.5</v>
      </c>
      <c r="Q595" s="7">
        <v>0</v>
      </c>
      <c r="R595" s="7">
        <v>0</v>
      </c>
      <c r="S595" s="7">
        <v>2.4300000000000002</v>
      </c>
      <c r="T595" s="7">
        <v>2.5</v>
      </c>
      <c r="U595">
        <v>8</v>
      </c>
      <c r="V595">
        <v>8</v>
      </c>
    </row>
    <row r="596" spans="1:22">
      <c r="A596">
        <v>592</v>
      </c>
      <c r="B596" s="4">
        <v>46297.490659722222</v>
      </c>
      <c r="C596" s="5">
        <v>46297</v>
      </c>
      <c r="D596" s="6">
        <v>2.491412037037037</v>
      </c>
      <c r="E596" s="5">
        <v>46297</v>
      </c>
      <c r="F596" t="s">
        <v>24</v>
      </c>
      <c r="G596" t="s">
        <v>25</v>
      </c>
      <c r="H596" t="s">
        <v>26</v>
      </c>
      <c r="I596" t="s">
        <v>27</v>
      </c>
      <c r="J596" t="s">
        <v>27</v>
      </c>
      <c r="K596" t="s">
        <v>509</v>
      </c>
      <c r="L596" s="2" t="s">
        <v>510</v>
      </c>
      <c r="M596" s="8" t="s">
        <v>511</v>
      </c>
      <c r="N596" s="7">
        <v>2.16</v>
      </c>
      <c r="O596" s="2">
        <v>1</v>
      </c>
      <c r="P596" s="7">
        <v>2.16</v>
      </c>
      <c r="Q596" s="7">
        <v>0</v>
      </c>
      <c r="R596" s="7">
        <v>0.34</v>
      </c>
      <c r="S596" s="7">
        <v>2.0699999999999998</v>
      </c>
      <c r="T596" s="7">
        <v>2.5</v>
      </c>
      <c r="U596">
        <v>8</v>
      </c>
      <c r="V596">
        <v>8</v>
      </c>
    </row>
    <row r="597" spans="1:22">
      <c r="A597">
        <v>593</v>
      </c>
      <c r="B597" s="4">
        <v>46297.490659722222</v>
      </c>
      <c r="C597" s="5">
        <v>46297</v>
      </c>
      <c r="D597" s="6">
        <v>2.4920601851851854</v>
      </c>
      <c r="E597" s="5">
        <v>46297</v>
      </c>
      <c r="F597" t="s">
        <v>24</v>
      </c>
      <c r="G597" t="s">
        <v>25</v>
      </c>
      <c r="H597" t="s">
        <v>26</v>
      </c>
      <c r="I597" t="s">
        <v>27</v>
      </c>
      <c r="J597" t="s">
        <v>27</v>
      </c>
      <c r="K597" t="s">
        <v>509</v>
      </c>
      <c r="L597" s="2" t="s">
        <v>50</v>
      </c>
      <c r="M597" s="8" t="s">
        <v>51</v>
      </c>
      <c r="N597" s="7">
        <v>0.43</v>
      </c>
      <c r="O597" s="2">
        <v>1</v>
      </c>
      <c r="P597" s="7">
        <v>0.43</v>
      </c>
      <c r="Q597" s="7">
        <v>0</v>
      </c>
      <c r="R597" s="7">
        <v>7.0000000000000007E-2</v>
      </c>
      <c r="S597" s="7">
        <v>0.41</v>
      </c>
      <c r="T597" s="7">
        <v>0.5</v>
      </c>
      <c r="U597">
        <v>8</v>
      </c>
      <c r="V597">
        <v>8</v>
      </c>
    </row>
    <row r="598" spans="1:22">
      <c r="A598">
        <v>594</v>
      </c>
      <c r="B598" s="4">
        <v>46297.492245370369</v>
      </c>
      <c r="C598" s="5">
        <v>46297</v>
      </c>
      <c r="D598" s="6">
        <v>2.4922453703703704</v>
      </c>
      <c r="E598" s="5">
        <v>46297</v>
      </c>
      <c r="F598" t="s">
        <v>24</v>
      </c>
      <c r="G598" t="s">
        <v>25</v>
      </c>
      <c r="H598" t="s">
        <v>26</v>
      </c>
      <c r="I598" t="s">
        <v>27</v>
      </c>
      <c r="J598" t="s">
        <v>27</v>
      </c>
      <c r="K598" t="s">
        <v>512</v>
      </c>
      <c r="L598" s="2" t="s">
        <v>50</v>
      </c>
      <c r="M598" s="8" t="s">
        <v>51</v>
      </c>
      <c r="N598" s="7">
        <v>0.43</v>
      </c>
      <c r="O598" s="2">
        <v>1</v>
      </c>
      <c r="P598" s="7">
        <v>0.43</v>
      </c>
      <c r="Q598" s="7">
        <v>0</v>
      </c>
      <c r="R598" s="7">
        <v>7.0000000000000007E-2</v>
      </c>
      <c r="S598" s="7">
        <v>0.41</v>
      </c>
      <c r="T598" s="7">
        <v>0.5</v>
      </c>
      <c r="U598">
        <v>8</v>
      </c>
      <c r="V598">
        <v>8</v>
      </c>
    </row>
    <row r="599" spans="1:22">
      <c r="A599">
        <v>595</v>
      </c>
      <c r="B599" s="4">
        <v>46297.495034722226</v>
      </c>
      <c r="C599" s="5">
        <v>46297</v>
      </c>
      <c r="D599" s="6">
        <v>2.4950231481481482</v>
      </c>
      <c r="E599" s="5">
        <v>46297</v>
      </c>
      <c r="F599" t="s">
        <v>24</v>
      </c>
      <c r="G599" t="s">
        <v>25</v>
      </c>
      <c r="H599" t="s">
        <v>26</v>
      </c>
      <c r="I599" t="s">
        <v>27</v>
      </c>
      <c r="J599" t="s">
        <v>27</v>
      </c>
      <c r="K599" t="s">
        <v>513</v>
      </c>
      <c r="L599" s="2" t="s">
        <v>205</v>
      </c>
      <c r="M599" s="8" t="s">
        <v>206</v>
      </c>
      <c r="N599" s="7">
        <v>0.55000000000000004</v>
      </c>
      <c r="O599" s="2">
        <v>2</v>
      </c>
      <c r="P599" s="7">
        <v>1.1000000000000001</v>
      </c>
      <c r="Q599" s="7">
        <v>0</v>
      </c>
      <c r="R599" s="7">
        <v>0.17</v>
      </c>
      <c r="S599" s="7">
        <v>1.07</v>
      </c>
      <c r="T599" s="7">
        <v>1.27</v>
      </c>
      <c r="U599">
        <v>8</v>
      </c>
      <c r="V599">
        <v>8</v>
      </c>
    </row>
    <row r="600" spans="1:22">
      <c r="A600">
        <v>596</v>
      </c>
      <c r="B600" s="4">
        <v>46297.495613425926</v>
      </c>
      <c r="C600" s="5">
        <v>46297</v>
      </c>
      <c r="D600" s="6">
        <v>2.4956134259259257</v>
      </c>
      <c r="E600" s="5">
        <v>46297</v>
      </c>
      <c r="F600" t="s">
        <v>24</v>
      </c>
      <c r="G600" t="s">
        <v>25</v>
      </c>
      <c r="H600" t="s">
        <v>26</v>
      </c>
      <c r="I600" t="s">
        <v>27</v>
      </c>
      <c r="J600" t="s">
        <v>27</v>
      </c>
      <c r="K600" t="s">
        <v>514</v>
      </c>
      <c r="L600" s="3" t="s">
        <v>231</v>
      </c>
      <c r="M600" s="8" t="s">
        <v>232</v>
      </c>
      <c r="N600" s="7">
        <v>0.55000000000000004</v>
      </c>
      <c r="O600" s="2">
        <v>2</v>
      </c>
      <c r="P600" s="7">
        <v>1.1000000000000001</v>
      </c>
      <c r="Q600" s="7">
        <v>0</v>
      </c>
      <c r="R600" s="7">
        <v>0.17</v>
      </c>
      <c r="S600" s="7">
        <v>1.08</v>
      </c>
      <c r="T600" s="7">
        <v>1.27</v>
      </c>
      <c r="U600">
        <v>8</v>
      </c>
      <c r="V600">
        <v>8</v>
      </c>
    </row>
    <row r="601" spans="1:22">
      <c r="A601">
        <v>597</v>
      </c>
      <c r="B601" s="4">
        <v>46297.495613425926</v>
      </c>
      <c r="C601" s="5">
        <v>46297</v>
      </c>
      <c r="D601" s="6">
        <v>2.4960879629629629</v>
      </c>
      <c r="E601" s="5">
        <v>46297</v>
      </c>
      <c r="F601" t="s">
        <v>24</v>
      </c>
      <c r="G601" t="s">
        <v>25</v>
      </c>
      <c r="H601" t="s">
        <v>26</v>
      </c>
      <c r="I601" t="s">
        <v>27</v>
      </c>
      <c r="J601" t="s">
        <v>27</v>
      </c>
      <c r="K601" t="s">
        <v>514</v>
      </c>
      <c r="L601" s="2" t="s">
        <v>267</v>
      </c>
      <c r="M601" s="8" t="s">
        <v>268</v>
      </c>
      <c r="N601" s="7">
        <v>0.65</v>
      </c>
      <c r="O601" s="2">
        <v>1</v>
      </c>
      <c r="P601" s="7">
        <v>0.65</v>
      </c>
      <c r="Q601" s="7">
        <v>0</v>
      </c>
      <c r="R601" s="7">
        <v>0.1</v>
      </c>
      <c r="S601" s="7">
        <v>0.63</v>
      </c>
      <c r="T601" s="7">
        <v>0.75</v>
      </c>
      <c r="U601">
        <v>8</v>
      </c>
      <c r="V601">
        <v>8</v>
      </c>
    </row>
    <row r="602" spans="1:22">
      <c r="A602">
        <v>598</v>
      </c>
      <c r="B602" s="4">
        <v>46297.50371527778</v>
      </c>
      <c r="C602" s="5">
        <v>46297</v>
      </c>
      <c r="D602" s="6">
        <v>2.5037152777777778</v>
      </c>
      <c r="E602" s="5">
        <v>46297</v>
      </c>
      <c r="F602" t="s">
        <v>24</v>
      </c>
      <c r="G602" t="s">
        <v>25</v>
      </c>
      <c r="H602" t="s">
        <v>26</v>
      </c>
      <c r="I602" t="s">
        <v>27</v>
      </c>
      <c r="J602" t="s">
        <v>27</v>
      </c>
      <c r="K602" t="s">
        <v>515</v>
      </c>
      <c r="L602" s="2" t="s">
        <v>59</v>
      </c>
      <c r="M602" s="8" t="s">
        <v>60</v>
      </c>
      <c r="N602" s="7">
        <v>0.31</v>
      </c>
      <c r="O602" s="2">
        <v>2</v>
      </c>
      <c r="P602" s="7">
        <v>0.62</v>
      </c>
      <c r="Q602" s="7">
        <v>0</v>
      </c>
      <c r="R602" s="7">
        <v>0</v>
      </c>
      <c r="S602" s="7">
        <v>0.6</v>
      </c>
      <c r="T602" s="7">
        <v>0.62</v>
      </c>
      <c r="U602">
        <v>8</v>
      </c>
      <c r="V602">
        <v>8</v>
      </c>
    </row>
    <row r="603" spans="1:22">
      <c r="A603">
        <v>599</v>
      </c>
      <c r="B603" s="4">
        <v>46297.50371527778</v>
      </c>
      <c r="C603" s="5">
        <v>46297</v>
      </c>
      <c r="D603" s="6">
        <v>2.5042476851851854</v>
      </c>
      <c r="E603" s="5">
        <v>46297</v>
      </c>
      <c r="F603" t="s">
        <v>24</v>
      </c>
      <c r="G603" t="s">
        <v>25</v>
      </c>
      <c r="H603" t="s">
        <v>26</v>
      </c>
      <c r="I603" t="s">
        <v>27</v>
      </c>
      <c r="J603" t="s">
        <v>27</v>
      </c>
      <c r="K603" t="s">
        <v>515</v>
      </c>
      <c r="L603" s="2" t="s">
        <v>516</v>
      </c>
      <c r="M603" s="8" t="s">
        <v>517</v>
      </c>
      <c r="N603" s="7">
        <v>0.81</v>
      </c>
      <c r="O603" s="2">
        <v>1</v>
      </c>
      <c r="P603" s="7">
        <v>0.81</v>
      </c>
      <c r="Q603" s="7">
        <v>0</v>
      </c>
      <c r="R603" s="7">
        <v>0.13</v>
      </c>
      <c r="S603" s="7">
        <v>0.79</v>
      </c>
      <c r="T603" s="7">
        <v>0.94</v>
      </c>
      <c r="U603">
        <v>8</v>
      </c>
      <c r="V603">
        <v>8</v>
      </c>
    </row>
    <row r="604" spans="1:22">
      <c r="A604">
        <v>600</v>
      </c>
      <c r="B604" s="4">
        <v>46297.50371527778</v>
      </c>
      <c r="C604" s="5">
        <v>46297</v>
      </c>
      <c r="D604" s="6">
        <v>2.5047337962962963</v>
      </c>
      <c r="E604" s="5">
        <v>46297</v>
      </c>
      <c r="F604" t="s">
        <v>24</v>
      </c>
      <c r="G604" t="s">
        <v>25</v>
      </c>
      <c r="H604" t="s">
        <v>26</v>
      </c>
      <c r="I604" t="s">
        <v>27</v>
      </c>
      <c r="J604" t="s">
        <v>27</v>
      </c>
      <c r="K604" t="s">
        <v>515</v>
      </c>
      <c r="L604" s="2" t="s">
        <v>474</v>
      </c>
      <c r="M604" s="8" t="s">
        <v>475</v>
      </c>
      <c r="N604" s="7">
        <v>1.25</v>
      </c>
      <c r="O604" s="2">
        <v>1</v>
      </c>
      <c r="P604" s="7">
        <v>1.25</v>
      </c>
      <c r="Q604" s="7">
        <v>0</v>
      </c>
      <c r="R604" s="7">
        <v>0</v>
      </c>
      <c r="S604" s="7">
        <v>1.21</v>
      </c>
      <c r="T604" s="7">
        <v>1.25</v>
      </c>
      <c r="U604">
        <v>8</v>
      </c>
      <c r="V604">
        <v>8</v>
      </c>
    </row>
    <row r="605" spans="1:22">
      <c r="A605">
        <v>601</v>
      </c>
      <c r="B605" s="4">
        <v>46297.509895833333</v>
      </c>
      <c r="C605" s="5">
        <v>46297</v>
      </c>
      <c r="D605" s="6">
        <v>2.5098842592592594</v>
      </c>
      <c r="E605" s="5">
        <v>46297</v>
      </c>
      <c r="F605" t="s">
        <v>24</v>
      </c>
      <c r="G605" t="s">
        <v>25</v>
      </c>
      <c r="H605" t="s">
        <v>26</v>
      </c>
      <c r="I605" t="s">
        <v>27</v>
      </c>
      <c r="J605" t="s">
        <v>27</v>
      </c>
      <c r="K605" t="s">
        <v>518</v>
      </c>
      <c r="L605" s="2" t="s">
        <v>489</v>
      </c>
      <c r="M605" s="8" t="s">
        <v>490</v>
      </c>
      <c r="N605" s="7">
        <v>1.56</v>
      </c>
      <c r="O605" s="2">
        <v>1</v>
      </c>
      <c r="P605" s="7">
        <v>1.56</v>
      </c>
      <c r="Q605" s="7">
        <v>0</v>
      </c>
      <c r="R605" s="7">
        <v>0</v>
      </c>
      <c r="S605" s="7">
        <v>0.42</v>
      </c>
      <c r="T605" s="7">
        <v>1.56</v>
      </c>
      <c r="U605">
        <v>8</v>
      </c>
      <c r="V605">
        <v>8</v>
      </c>
    </row>
    <row r="606" spans="1:22">
      <c r="A606">
        <v>602</v>
      </c>
      <c r="B606" s="4">
        <v>46297.509895833333</v>
      </c>
      <c r="C606" s="5">
        <v>46297</v>
      </c>
      <c r="D606" s="6">
        <v>2.5099652777777779</v>
      </c>
      <c r="E606" s="5">
        <v>46297</v>
      </c>
      <c r="F606" t="s">
        <v>24</v>
      </c>
      <c r="G606" t="s">
        <v>25</v>
      </c>
      <c r="H606" t="s">
        <v>26</v>
      </c>
      <c r="I606" t="s">
        <v>27</v>
      </c>
      <c r="J606" t="s">
        <v>27</v>
      </c>
      <c r="K606" t="s">
        <v>518</v>
      </c>
      <c r="L606" s="2" t="s">
        <v>29</v>
      </c>
      <c r="M606" s="8" t="s">
        <v>30</v>
      </c>
      <c r="N606" s="7">
        <v>0.81</v>
      </c>
      <c r="O606" s="2">
        <v>1</v>
      </c>
      <c r="P606" s="7">
        <v>0.81</v>
      </c>
      <c r="Q606" s="7">
        <v>0</v>
      </c>
      <c r="R606" s="7">
        <v>0.13</v>
      </c>
      <c r="S606" s="7">
        <v>0.43</v>
      </c>
      <c r="T606" s="7">
        <v>0.94</v>
      </c>
      <c r="U606">
        <v>8</v>
      </c>
      <c r="V606">
        <v>8</v>
      </c>
    </row>
    <row r="607" spans="1:22">
      <c r="A607">
        <v>603</v>
      </c>
      <c r="B607" s="4">
        <v>46297.509895833333</v>
      </c>
      <c r="C607" s="5">
        <v>46297</v>
      </c>
      <c r="D607" s="6">
        <v>2.5100694444444445</v>
      </c>
      <c r="E607" s="5">
        <v>46297</v>
      </c>
      <c r="F607" t="s">
        <v>24</v>
      </c>
      <c r="G607" t="s">
        <v>25</v>
      </c>
      <c r="H607" t="s">
        <v>26</v>
      </c>
      <c r="I607" t="s">
        <v>27</v>
      </c>
      <c r="J607" t="s">
        <v>27</v>
      </c>
      <c r="K607" t="s">
        <v>518</v>
      </c>
      <c r="L607" s="2" t="s">
        <v>344</v>
      </c>
      <c r="M607" s="8" t="s">
        <v>345</v>
      </c>
      <c r="N607" s="7">
        <v>0.38</v>
      </c>
      <c r="O607" s="2">
        <v>4</v>
      </c>
      <c r="P607" s="7">
        <v>1.52</v>
      </c>
      <c r="Q607" s="7">
        <v>0</v>
      </c>
      <c r="R607" s="7">
        <v>0.24</v>
      </c>
      <c r="S607" s="7">
        <v>1.48</v>
      </c>
      <c r="T607" s="7">
        <v>1.76</v>
      </c>
      <c r="U607">
        <v>8</v>
      </c>
      <c r="V607">
        <v>8</v>
      </c>
    </row>
    <row r="608" spans="1:22">
      <c r="A608">
        <v>604</v>
      </c>
      <c r="B608" s="4">
        <v>46297.509895833333</v>
      </c>
      <c r="C608" s="5">
        <v>46297</v>
      </c>
      <c r="D608" s="6">
        <v>2.510173611111111</v>
      </c>
      <c r="E608" s="5">
        <v>46297</v>
      </c>
      <c r="F608" t="s">
        <v>24</v>
      </c>
      <c r="G608" t="s">
        <v>25</v>
      </c>
      <c r="H608" t="s">
        <v>26</v>
      </c>
      <c r="I608" t="s">
        <v>27</v>
      </c>
      <c r="J608" t="s">
        <v>27</v>
      </c>
      <c r="K608" t="s">
        <v>518</v>
      </c>
      <c r="L608" s="2" t="s">
        <v>109</v>
      </c>
      <c r="M608" s="8" t="s">
        <v>110</v>
      </c>
      <c r="N608" s="7">
        <v>1.08</v>
      </c>
      <c r="O608" s="2">
        <v>1</v>
      </c>
      <c r="P608" s="7">
        <v>1.08</v>
      </c>
      <c r="Q608" s="7">
        <v>0</v>
      </c>
      <c r="R608" s="7">
        <v>0.17</v>
      </c>
      <c r="S608" s="7">
        <v>0.26</v>
      </c>
      <c r="T608" s="7">
        <v>1.25</v>
      </c>
      <c r="U608">
        <v>8</v>
      </c>
      <c r="V608">
        <v>8</v>
      </c>
    </row>
    <row r="609" spans="1:22">
      <c r="A609">
        <v>605</v>
      </c>
      <c r="B609" s="4">
        <v>46297.5234837963</v>
      </c>
      <c r="C609" s="5">
        <v>46297</v>
      </c>
      <c r="D609" s="6">
        <v>2.5234837962962962</v>
      </c>
      <c r="E609" s="5">
        <v>46297</v>
      </c>
      <c r="F609" t="s">
        <v>24</v>
      </c>
      <c r="G609" t="s">
        <v>25</v>
      </c>
      <c r="H609" t="s">
        <v>26</v>
      </c>
      <c r="I609" t="s">
        <v>27</v>
      </c>
      <c r="J609" t="s">
        <v>27</v>
      </c>
      <c r="K609" t="s">
        <v>519</v>
      </c>
      <c r="L609" s="2" t="s">
        <v>109</v>
      </c>
      <c r="M609" s="8" t="s">
        <v>110</v>
      </c>
      <c r="N609" s="7">
        <v>1.08</v>
      </c>
      <c r="O609" s="2">
        <v>2</v>
      </c>
      <c r="P609" s="7">
        <v>2.16</v>
      </c>
      <c r="Q609" s="7">
        <v>0</v>
      </c>
      <c r="R609" s="7">
        <v>0.34</v>
      </c>
      <c r="S609" s="7">
        <v>0.51</v>
      </c>
      <c r="T609" s="7">
        <v>2.5</v>
      </c>
      <c r="U609">
        <v>8</v>
      </c>
      <c r="V609">
        <v>8</v>
      </c>
    </row>
    <row r="610" spans="1:22">
      <c r="A610">
        <v>606</v>
      </c>
      <c r="B610" s="4">
        <v>46297.528877314813</v>
      </c>
      <c r="C610" s="5">
        <v>46297</v>
      </c>
      <c r="D610" s="6">
        <v>2.5288773148148147</v>
      </c>
      <c r="E610" s="5">
        <v>46297</v>
      </c>
      <c r="F610" t="s">
        <v>24</v>
      </c>
      <c r="G610" t="s">
        <v>25</v>
      </c>
      <c r="H610" t="s">
        <v>26</v>
      </c>
      <c r="I610" t="s">
        <v>27</v>
      </c>
      <c r="J610" t="s">
        <v>27</v>
      </c>
      <c r="K610" t="s">
        <v>520</v>
      </c>
      <c r="L610" s="2" t="s">
        <v>236</v>
      </c>
      <c r="M610" s="8" t="s">
        <v>237</v>
      </c>
      <c r="N610" s="7">
        <v>5.14</v>
      </c>
      <c r="O610" s="2">
        <v>1</v>
      </c>
      <c r="P610" s="7">
        <v>5.14</v>
      </c>
      <c r="Q610" s="7">
        <v>0</v>
      </c>
      <c r="R610" s="7">
        <v>0.8</v>
      </c>
      <c r="S610" s="7">
        <v>1.18</v>
      </c>
      <c r="T610" s="7">
        <v>5.94</v>
      </c>
      <c r="U610">
        <v>8</v>
      </c>
      <c r="V610">
        <v>8</v>
      </c>
    </row>
    <row r="611" spans="1:22">
      <c r="A611">
        <v>607</v>
      </c>
      <c r="B611" s="4">
        <v>46297.528877314813</v>
      </c>
      <c r="C611" s="5">
        <v>46297</v>
      </c>
      <c r="D611" s="6">
        <v>2.5296296296296297</v>
      </c>
      <c r="E611" s="5">
        <v>46297</v>
      </c>
      <c r="F611" t="s">
        <v>24</v>
      </c>
      <c r="G611" t="s">
        <v>25</v>
      </c>
      <c r="H611" t="s">
        <v>26</v>
      </c>
      <c r="I611" t="s">
        <v>27</v>
      </c>
      <c r="J611" t="s">
        <v>27</v>
      </c>
      <c r="K611" t="s">
        <v>520</v>
      </c>
      <c r="L611" s="2" t="s">
        <v>35</v>
      </c>
      <c r="M611" s="8" t="s">
        <v>36</v>
      </c>
      <c r="N611" s="7">
        <v>0.81</v>
      </c>
      <c r="O611" s="2">
        <v>1</v>
      </c>
      <c r="P611" s="7">
        <v>0.81</v>
      </c>
      <c r="Q611" s="7">
        <v>0</v>
      </c>
      <c r="R611" s="7">
        <v>0.13</v>
      </c>
      <c r="S611" s="7">
        <v>0.38</v>
      </c>
      <c r="T611" s="7">
        <v>0.94</v>
      </c>
      <c r="U611">
        <v>8</v>
      </c>
      <c r="V611">
        <v>8</v>
      </c>
    </row>
    <row r="612" spans="1:22">
      <c r="A612">
        <v>608</v>
      </c>
      <c r="B612" s="4">
        <v>46297.528877314813</v>
      </c>
      <c r="C612" s="5">
        <v>46297</v>
      </c>
      <c r="D612" s="6">
        <v>2.535787037037037</v>
      </c>
      <c r="E612" s="5">
        <v>46297</v>
      </c>
      <c r="F612" t="s">
        <v>24</v>
      </c>
      <c r="G612" t="s">
        <v>25</v>
      </c>
      <c r="H612" t="s">
        <v>26</v>
      </c>
      <c r="I612" t="s">
        <v>27</v>
      </c>
      <c r="J612" t="s">
        <v>27</v>
      </c>
      <c r="K612" t="s">
        <v>520</v>
      </c>
      <c r="L612" s="2" t="s">
        <v>224</v>
      </c>
      <c r="M612" s="8" t="s">
        <v>225</v>
      </c>
      <c r="N612" s="7">
        <v>0.81</v>
      </c>
      <c r="O612" s="2">
        <v>1</v>
      </c>
      <c r="P612" s="7">
        <v>0.81</v>
      </c>
      <c r="Q612" s="7">
        <v>0</v>
      </c>
      <c r="R612" s="7">
        <v>0.13</v>
      </c>
      <c r="S612" s="7">
        <v>0.79</v>
      </c>
      <c r="T612" s="7">
        <v>0.94</v>
      </c>
      <c r="U612">
        <v>8</v>
      </c>
      <c r="V612">
        <v>8</v>
      </c>
    </row>
    <row r="613" spans="1:22">
      <c r="A613">
        <v>609</v>
      </c>
      <c r="B613" s="4">
        <v>46297.563506944447</v>
      </c>
      <c r="C613" s="5">
        <v>46297</v>
      </c>
      <c r="D613" s="6">
        <v>2.5635069444444443</v>
      </c>
      <c r="E613" s="5">
        <v>46297</v>
      </c>
      <c r="F613" t="s">
        <v>24</v>
      </c>
      <c r="G613" t="s">
        <v>25</v>
      </c>
      <c r="H613" t="s">
        <v>26</v>
      </c>
      <c r="I613" t="s">
        <v>27</v>
      </c>
      <c r="J613" t="s">
        <v>27</v>
      </c>
      <c r="K613" t="s">
        <v>521</v>
      </c>
      <c r="L613" s="3" t="s">
        <v>231</v>
      </c>
      <c r="M613" s="8" t="s">
        <v>232</v>
      </c>
      <c r="N613" s="7">
        <v>0.55000000000000004</v>
      </c>
      <c r="O613" s="2">
        <v>1</v>
      </c>
      <c r="P613" s="7">
        <v>0.55000000000000004</v>
      </c>
      <c r="Q613" s="7">
        <v>0</v>
      </c>
      <c r="R613" s="7">
        <v>0.08</v>
      </c>
      <c r="S613" s="7">
        <v>0.54</v>
      </c>
      <c r="T613" s="7">
        <v>0.63</v>
      </c>
      <c r="U613">
        <v>8</v>
      </c>
      <c r="V613">
        <v>8</v>
      </c>
    </row>
    <row r="614" spans="1:22">
      <c r="A614">
        <v>610</v>
      </c>
      <c r="B614" s="4">
        <v>46297.564629629633</v>
      </c>
      <c r="C614" s="5">
        <v>46297</v>
      </c>
      <c r="D614" s="6">
        <v>2.5646296296296298</v>
      </c>
      <c r="E614" s="5">
        <v>46297</v>
      </c>
      <c r="F614" t="s">
        <v>24</v>
      </c>
      <c r="G614" t="s">
        <v>25</v>
      </c>
      <c r="H614" t="s">
        <v>26</v>
      </c>
      <c r="I614" t="s">
        <v>27</v>
      </c>
      <c r="J614" t="s">
        <v>27</v>
      </c>
      <c r="K614" t="s">
        <v>522</v>
      </c>
      <c r="L614" s="2" t="s">
        <v>113</v>
      </c>
      <c r="M614" s="8" t="s">
        <v>114</v>
      </c>
      <c r="N614" s="7">
        <v>1.08</v>
      </c>
      <c r="O614" s="2">
        <v>1</v>
      </c>
      <c r="P614" s="7">
        <v>1.08</v>
      </c>
      <c r="Q614" s="7">
        <v>0</v>
      </c>
      <c r="R614" s="7">
        <v>0.17</v>
      </c>
      <c r="S614" s="7">
        <v>0.26</v>
      </c>
      <c r="T614" s="7">
        <v>1.25</v>
      </c>
      <c r="U614">
        <v>8</v>
      </c>
      <c r="V614">
        <v>8</v>
      </c>
    </row>
    <row r="615" spans="1:22">
      <c r="A615">
        <v>611</v>
      </c>
      <c r="B615" s="4">
        <v>46297.566574074073</v>
      </c>
      <c r="C615" s="5">
        <v>46297</v>
      </c>
      <c r="D615" s="6">
        <v>2.5665740740740741</v>
      </c>
      <c r="E615" s="5">
        <v>46297</v>
      </c>
      <c r="F615" t="s">
        <v>24</v>
      </c>
      <c r="G615" t="s">
        <v>25</v>
      </c>
      <c r="H615" t="s">
        <v>26</v>
      </c>
      <c r="I615" t="s">
        <v>27</v>
      </c>
      <c r="J615" t="s">
        <v>27</v>
      </c>
      <c r="K615" t="s">
        <v>523</v>
      </c>
      <c r="L615" s="2" t="s">
        <v>105</v>
      </c>
      <c r="M615" s="8" t="s">
        <v>106</v>
      </c>
      <c r="N615" s="7">
        <v>0.38</v>
      </c>
      <c r="O615" s="2">
        <v>4</v>
      </c>
      <c r="P615" s="7">
        <v>1.52</v>
      </c>
      <c r="Q615" s="7">
        <v>0</v>
      </c>
      <c r="R615" s="7">
        <v>0.24</v>
      </c>
      <c r="S615" s="7">
        <v>1.49</v>
      </c>
      <c r="T615" s="7">
        <v>1.76</v>
      </c>
      <c r="U615">
        <v>8</v>
      </c>
      <c r="V615">
        <v>8</v>
      </c>
    </row>
    <row r="616" spans="1:22">
      <c r="A616">
        <v>612</v>
      </c>
      <c r="B616" s="4">
        <v>46297.56863425926</v>
      </c>
      <c r="C616" s="5">
        <v>46297</v>
      </c>
      <c r="D616" s="6">
        <v>2.5686342592592593</v>
      </c>
      <c r="E616" s="5">
        <v>46297</v>
      </c>
      <c r="F616" t="s">
        <v>24</v>
      </c>
      <c r="G616" t="s">
        <v>25</v>
      </c>
      <c r="H616" t="s">
        <v>26</v>
      </c>
      <c r="I616" t="s">
        <v>27</v>
      </c>
      <c r="J616" t="s">
        <v>27</v>
      </c>
      <c r="K616" t="s">
        <v>524</v>
      </c>
      <c r="L616" s="2" t="s">
        <v>35</v>
      </c>
      <c r="M616" s="8" t="s">
        <v>36</v>
      </c>
      <c r="N616" s="7">
        <v>0.81</v>
      </c>
      <c r="O616" s="2">
        <v>1</v>
      </c>
      <c r="P616" s="7">
        <v>0.81</v>
      </c>
      <c r="Q616" s="7">
        <v>0</v>
      </c>
      <c r="R616" s="7">
        <v>0.13</v>
      </c>
      <c r="S616" s="7">
        <v>0.38</v>
      </c>
      <c r="T616" s="7">
        <v>0.94</v>
      </c>
      <c r="U616">
        <v>8</v>
      </c>
      <c r="V616">
        <v>8</v>
      </c>
    </row>
    <row r="617" spans="1:22">
      <c r="A617">
        <v>613</v>
      </c>
      <c r="B617" s="4">
        <v>46297.570613425924</v>
      </c>
      <c r="C617" s="5">
        <v>46297</v>
      </c>
      <c r="D617" s="6">
        <v>2.5706134259259259</v>
      </c>
      <c r="E617" s="5">
        <v>46297</v>
      </c>
      <c r="F617" t="s">
        <v>24</v>
      </c>
      <c r="G617" t="s">
        <v>25</v>
      </c>
      <c r="H617" t="s">
        <v>26</v>
      </c>
      <c r="I617" t="s">
        <v>27</v>
      </c>
      <c r="J617" t="s">
        <v>27</v>
      </c>
      <c r="K617" t="s">
        <v>525</v>
      </c>
      <c r="L617" s="2" t="s">
        <v>88</v>
      </c>
      <c r="M617" s="8" t="s">
        <v>89</v>
      </c>
      <c r="N617" s="7">
        <v>0.81</v>
      </c>
      <c r="O617" s="2">
        <v>2</v>
      </c>
      <c r="P617" s="7">
        <v>1.62</v>
      </c>
      <c r="Q617" s="7">
        <v>0</v>
      </c>
      <c r="R617" s="7">
        <v>0.25</v>
      </c>
      <c r="S617" s="7">
        <v>1.57</v>
      </c>
      <c r="T617" s="7">
        <v>1.87</v>
      </c>
      <c r="U617">
        <v>9</v>
      </c>
      <c r="V617">
        <v>9</v>
      </c>
    </row>
    <row r="618" spans="1:22">
      <c r="A618">
        <v>614</v>
      </c>
      <c r="B618" s="4">
        <v>46297.572048611109</v>
      </c>
      <c r="C618" s="5">
        <v>46297</v>
      </c>
      <c r="D618" s="6">
        <v>2.5720486111111112</v>
      </c>
      <c r="E618" s="5">
        <v>46297</v>
      </c>
      <c r="F618" t="s">
        <v>24</v>
      </c>
      <c r="G618" t="s">
        <v>25</v>
      </c>
      <c r="H618" t="s">
        <v>26</v>
      </c>
      <c r="I618" t="s">
        <v>27</v>
      </c>
      <c r="J618" t="s">
        <v>27</v>
      </c>
      <c r="K618" t="s">
        <v>526</v>
      </c>
      <c r="L618" s="2" t="s">
        <v>100</v>
      </c>
      <c r="M618" s="8" t="s">
        <v>101</v>
      </c>
      <c r="N618" s="7">
        <v>0.81</v>
      </c>
      <c r="O618" s="2">
        <v>1</v>
      </c>
      <c r="P618" s="7">
        <v>0.81</v>
      </c>
      <c r="Q618" s="7">
        <v>0</v>
      </c>
      <c r="R618" s="7">
        <v>0.13</v>
      </c>
      <c r="S618" s="7">
        <v>0.39</v>
      </c>
      <c r="T618" s="7">
        <v>0.94</v>
      </c>
      <c r="U618">
        <v>9</v>
      </c>
      <c r="V618">
        <v>9</v>
      </c>
    </row>
    <row r="619" spans="1:22">
      <c r="A619">
        <v>615</v>
      </c>
      <c r="B619" s="4">
        <v>46297.572048611109</v>
      </c>
      <c r="C619" s="5">
        <v>46297</v>
      </c>
      <c r="D619" s="6">
        <v>2.5721412037037039</v>
      </c>
      <c r="E619" s="5">
        <v>46297</v>
      </c>
      <c r="F619" t="s">
        <v>24</v>
      </c>
      <c r="G619" t="s">
        <v>25</v>
      </c>
      <c r="H619" t="s">
        <v>26</v>
      </c>
      <c r="I619" t="s">
        <v>27</v>
      </c>
      <c r="J619" t="s">
        <v>27</v>
      </c>
      <c r="K619" t="s">
        <v>526</v>
      </c>
      <c r="L619" s="2" t="s">
        <v>88</v>
      </c>
      <c r="M619" s="8" t="s">
        <v>89</v>
      </c>
      <c r="N619" s="7">
        <v>0.81</v>
      </c>
      <c r="O619" s="2">
        <v>1</v>
      </c>
      <c r="P619" s="7">
        <v>0.81</v>
      </c>
      <c r="Q619" s="7">
        <v>0</v>
      </c>
      <c r="R619" s="7">
        <v>0.13</v>
      </c>
      <c r="S619" s="7">
        <v>0.79</v>
      </c>
      <c r="T619" s="7">
        <v>0.94</v>
      </c>
      <c r="U619">
        <v>9</v>
      </c>
      <c r="V619">
        <v>9</v>
      </c>
    </row>
    <row r="620" spans="1:22">
      <c r="A620">
        <v>616</v>
      </c>
      <c r="B620" s="4">
        <v>46297.572337962964</v>
      </c>
      <c r="C620" s="5">
        <v>46297</v>
      </c>
      <c r="D620" s="6">
        <v>2.5723379629629628</v>
      </c>
      <c r="E620" s="5">
        <v>46297</v>
      </c>
      <c r="F620" t="s">
        <v>24</v>
      </c>
      <c r="G620" t="s">
        <v>25</v>
      </c>
      <c r="H620" t="s">
        <v>26</v>
      </c>
      <c r="I620" t="s">
        <v>27</v>
      </c>
      <c r="J620" t="s">
        <v>27</v>
      </c>
      <c r="K620" t="s">
        <v>527</v>
      </c>
      <c r="L620" s="3" t="s">
        <v>231</v>
      </c>
      <c r="M620" s="8" t="s">
        <v>232</v>
      </c>
      <c r="N620" s="7">
        <v>0.55000000000000004</v>
      </c>
      <c r="O620" s="2">
        <v>1</v>
      </c>
      <c r="P620" s="7">
        <v>0.55000000000000004</v>
      </c>
      <c r="Q620" s="7">
        <v>0</v>
      </c>
      <c r="R620" s="7">
        <v>0.08</v>
      </c>
      <c r="S620" s="7">
        <v>0.54</v>
      </c>
      <c r="T620" s="7">
        <v>0.63</v>
      </c>
      <c r="U620">
        <v>9</v>
      </c>
      <c r="V620">
        <v>9</v>
      </c>
    </row>
    <row r="621" spans="1:22">
      <c r="A621">
        <v>617</v>
      </c>
      <c r="B621" s="4">
        <v>46297.578275462962</v>
      </c>
      <c r="C621" s="5">
        <v>46297</v>
      </c>
      <c r="D621" s="6">
        <v>2.5782638888888889</v>
      </c>
      <c r="E621" s="5">
        <v>46297</v>
      </c>
      <c r="F621" t="s">
        <v>24</v>
      </c>
      <c r="G621" t="s">
        <v>25</v>
      </c>
      <c r="H621" t="s">
        <v>26</v>
      </c>
      <c r="I621" t="s">
        <v>27</v>
      </c>
      <c r="J621" t="s">
        <v>27</v>
      </c>
      <c r="K621" t="s">
        <v>528</v>
      </c>
      <c r="L621" s="2" t="s">
        <v>146</v>
      </c>
      <c r="M621" s="8" t="s">
        <v>147</v>
      </c>
      <c r="N621" s="7">
        <v>2.16</v>
      </c>
      <c r="O621" s="2">
        <v>1</v>
      </c>
      <c r="P621" s="7">
        <v>2.16</v>
      </c>
      <c r="Q621" s="7">
        <v>0</v>
      </c>
      <c r="R621" s="7">
        <v>0.34</v>
      </c>
      <c r="S621" s="7">
        <v>2.09</v>
      </c>
      <c r="T621" s="7">
        <v>2.5</v>
      </c>
      <c r="U621">
        <v>9</v>
      </c>
      <c r="V621">
        <v>9</v>
      </c>
    </row>
    <row r="622" spans="1:22">
      <c r="A622">
        <v>618</v>
      </c>
      <c r="B622" s="4">
        <v>46297.586423611108</v>
      </c>
      <c r="C622" s="5">
        <v>46297</v>
      </c>
      <c r="D622" s="6">
        <v>2.586423611111111</v>
      </c>
      <c r="E622" s="5">
        <v>46297</v>
      </c>
      <c r="F622" t="s">
        <v>24</v>
      </c>
      <c r="G622" t="s">
        <v>25</v>
      </c>
      <c r="H622" t="s">
        <v>26</v>
      </c>
      <c r="I622" t="s">
        <v>27</v>
      </c>
      <c r="J622" t="s">
        <v>27</v>
      </c>
      <c r="K622" t="s">
        <v>529</v>
      </c>
      <c r="L622" s="2" t="s">
        <v>38</v>
      </c>
      <c r="M622" s="8" t="s">
        <v>39</v>
      </c>
      <c r="N622" s="7">
        <v>0.03</v>
      </c>
      <c r="O622" s="2">
        <v>5</v>
      </c>
      <c r="P622" s="7">
        <v>0.15</v>
      </c>
      <c r="Q622" s="7">
        <v>0</v>
      </c>
      <c r="R622" s="7">
        <v>0.02</v>
      </c>
      <c r="S622" s="7">
        <v>0.05</v>
      </c>
      <c r="T622" s="7">
        <v>0.17</v>
      </c>
      <c r="U622">
        <v>9</v>
      </c>
      <c r="V622">
        <v>9</v>
      </c>
    </row>
    <row r="623" spans="1:22">
      <c r="A623">
        <v>619</v>
      </c>
      <c r="B623" s="4">
        <v>46297.586701388886</v>
      </c>
      <c r="C623" s="5">
        <v>46297</v>
      </c>
      <c r="D623" s="6">
        <v>2.586689814814815</v>
      </c>
      <c r="E623" s="5">
        <v>46297</v>
      </c>
      <c r="F623" t="s">
        <v>24</v>
      </c>
      <c r="G623" t="s">
        <v>25</v>
      </c>
      <c r="H623" t="s">
        <v>26</v>
      </c>
      <c r="I623" t="s">
        <v>27</v>
      </c>
      <c r="J623" t="s">
        <v>27</v>
      </c>
      <c r="K623" t="s">
        <v>530</v>
      </c>
      <c r="L623" s="2" t="s">
        <v>229</v>
      </c>
      <c r="M623" s="8" t="s">
        <v>230</v>
      </c>
      <c r="N623" s="7">
        <v>0.81</v>
      </c>
      <c r="O623" s="2">
        <v>1</v>
      </c>
      <c r="P623" s="7">
        <v>0.81</v>
      </c>
      <c r="Q623" s="7">
        <v>0</v>
      </c>
      <c r="R623" s="7">
        <v>0.13</v>
      </c>
      <c r="S623" s="7">
        <v>0.79</v>
      </c>
      <c r="T623" s="7">
        <v>0.94</v>
      </c>
      <c r="U623">
        <v>9</v>
      </c>
      <c r="V623">
        <v>9</v>
      </c>
    </row>
    <row r="624" spans="1:22">
      <c r="A624">
        <v>620</v>
      </c>
      <c r="B624" s="4">
        <v>46297.586701388886</v>
      </c>
      <c r="C624" s="5">
        <v>46297</v>
      </c>
      <c r="D624" s="6">
        <v>2.5868171296296296</v>
      </c>
      <c r="E624" s="5">
        <v>46297</v>
      </c>
      <c r="F624" t="s">
        <v>24</v>
      </c>
      <c r="G624" t="s">
        <v>25</v>
      </c>
      <c r="H624" t="s">
        <v>26</v>
      </c>
      <c r="I624" t="s">
        <v>27</v>
      </c>
      <c r="J624" t="s">
        <v>27</v>
      </c>
      <c r="K624" t="s">
        <v>530</v>
      </c>
      <c r="L624" s="2" t="s">
        <v>59</v>
      </c>
      <c r="M624" s="8" t="s">
        <v>60</v>
      </c>
      <c r="N624" s="7">
        <v>0.31</v>
      </c>
      <c r="O624" s="2">
        <v>3</v>
      </c>
      <c r="P624" s="7">
        <v>0.93</v>
      </c>
      <c r="Q624" s="7">
        <v>0</v>
      </c>
      <c r="R624" s="7">
        <v>0</v>
      </c>
      <c r="S624" s="7">
        <v>0.9</v>
      </c>
      <c r="T624" s="7">
        <v>0.93</v>
      </c>
      <c r="U624">
        <v>9</v>
      </c>
      <c r="V624">
        <v>9</v>
      </c>
    </row>
    <row r="625" spans="1:22">
      <c r="A625">
        <v>621</v>
      </c>
      <c r="B625" s="4">
        <v>46297.587789351855</v>
      </c>
      <c r="C625" s="5">
        <v>46297</v>
      </c>
      <c r="D625" s="6">
        <v>2.587789351851852</v>
      </c>
      <c r="E625" s="5">
        <v>46297</v>
      </c>
      <c r="F625" t="s">
        <v>24</v>
      </c>
      <c r="G625" t="s">
        <v>25</v>
      </c>
      <c r="H625" t="s">
        <v>26</v>
      </c>
      <c r="I625" t="s">
        <v>27</v>
      </c>
      <c r="J625" t="s">
        <v>27</v>
      </c>
      <c r="K625" t="s">
        <v>531</v>
      </c>
      <c r="L625" s="2" t="s">
        <v>215</v>
      </c>
      <c r="M625" s="8" t="s">
        <v>216</v>
      </c>
      <c r="N625" s="7">
        <v>0.81</v>
      </c>
      <c r="O625" s="2">
        <v>1</v>
      </c>
      <c r="P625" s="7">
        <v>0.81</v>
      </c>
      <c r="Q625" s="7">
        <v>0</v>
      </c>
      <c r="R625" s="7">
        <v>0.13</v>
      </c>
      <c r="S625" s="7">
        <v>0.78</v>
      </c>
      <c r="T625" s="7">
        <v>0.94</v>
      </c>
      <c r="U625">
        <v>9</v>
      </c>
      <c r="V625">
        <v>9</v>
      </c>
    </row>
    <row r="626" spans="1:22">
      <c r="A626">
        <v>622</v>
      </c>
      <c r="B626" s="4">
        <v>46297.588425925926</v>
      </c>
      <c r="C626" s="5">
        <v>46297</v>
      </c>
      <c r="D626" s="6">
        <v>2.5884259259259261</v>
      </c>
      <c r="E626" s="5">
        <v>46297</v>
      </c>
      <c r="F626" t="s">
        <v>24</v>
      </c>
      <c r="G626" t="s">
        <v>25</v>
      </c>
      <c r="H626" t="s">
        <v>26</v>
      </c>
      <c r="I626" t="s">
        <v>27</v>
      </c>
      <c r="J626" t="s">
        <v>27</v>
      </c>
      <c r="K626" t="s">
        <v>532</v>
      </c>
      <c r="L626" s="2" t="s">
        <v>172</v>
      </c>
      <c r="M626" s="8" t="s">
        <v>173</v>
      </c>
      <c r="N626" s="7">
        <v>2.16</v>
      </c>
      <c r="O626" s="2">
        <v>1</v>
      </c>
      <c r="P626" s="7">
        <v>2.16</v>
      </c>
      <c r="Q626" s="7">
        <v>0</v>
      </c>
      <c r="R626" s="7">
        <v>0.34</v>
      </c>
      <c r="S626" s="7">
        <v>2.08</v>
      </c>
      <c r="T626" s="7">
        <v>2.5</v>
      </c>
      <c r="U626">
        <v>9</v>
      </c>
      <c r="V626">
        <v>9</v>
      </c>
    </row>
    <row r="627" spans="1:22">
      <c r="A627">
        <v>623</v>
      </c>
      <c r="B627" s="4">
        <v>46297.589178240742</v>
      </c>
      <c r="C627" s="5">
        <v>46297</v>
      </c>
      <c r="D627" s="6">
        <v>2.5891782407407407</v>
      </c>
      <c r="E627" s="5">
        <v>46297</v>
      </c>
      <c r="F627" t="s">
        <v>24</v>
      </c>
      <c r="G627" t="s">
        <v>25</v>
      </c>
      <c r="H627" t="s">
        <v>26</v>
      </c>
      <c r="I627" t="s">
        <v>27</v>
      </c>
      <c r="J627" t="s">
        <v>27</v>
      </c>
      <c r="K627" t="s">
        <v>533</v>
      </c>
      <c r="L627" s="2" t="s">
        <v>50</v>
      </c>
      <c r="M627" s="8" t="s">
        <v>51</v>
      </c>
      <c r="N627" s="7">
        <v>0.43</v>
      </c>
      <c r="O627" s="2">
        <v>1</v>
      </c>
      <c r="P627" s="7">
        <v>0.43</v>
      </c>
      <c r="Q627" s="7">
        <v>0</v>
      </c>
      <c r="R627" s="7">
        <v>7.0000000000000007E-2</v>
      </c>
      <c r="S627" s="7">
        <v>0.41</v>
      </c>
      <c r="T627" s="7">
        <v>0.5</v>
      </c>
      <c r="U627">
        <v>9</v>
      </c>
      <c r="V627">
        <v>9</v>
      </c>
    </row>
    <row r="628" spans="1:22">
      <c r="A628">
        <v>624</v>
      </c>
      <c r="B628" s="4">
        <v>46297.600173611114</v>
      </c>
      <c r="C628" s="5">
        <v>46297</v>
      </c>
      <c r="D628" s="6">
        <v>2.6001736111111109</v>
      </c>
      <c r="E628" s="5">
        <v>46297</v>
      </c>
      <c r="F628" t="s">
        <v>24</v>
      </c>
      <c r="G628" t="s">
        <v>25</v>
      </c>
      <c r="H628" t="s">
        <v>26</v>
      </c>
      <c r="I628" t="s">
        <v>27</v>
      </c>
      <c r="J628" t="s">
        <v>27</v>
      </c>
      <c r="K628" t="s">
        <v>534</v>
      </c>
      <c r="L628" s="2" t="s">
        <v>146</v>
      </c>
      <c r="M628" s="8" t="s">
        <v>147</v>
      </c>
      <c r="N628" s="7">
        <v>2.16</v>
      </c>
      <c r="O628" s="2">
        <v>1</v>
      </c>
      <c r="P628" s="7">
        <v>2.16</v>
      </c>
      <c r="Q628" s="7">
        <v>0</v>
      </c>
      <c r="R628" s="7">
        <v>0.34</v>
      </c>
      <c r="S628" s="7">
        <v>2.09</v>
      </c>
      <c r="T628" s="7">
        <v>2.5</v>
      </c>
      <c r="U628">
        <v>9</v>
      </c>
      <c r="V628">
        <v>9</v>
      </c>
    </row>
    <row r="629" spans="1:22">
      <c r="A629">
        <v>625</v>
      </c>
      <c r="B629" s="4">
        <v>46297.600173611114</v>
      </c>
      <c r="C629" s="5">
        <v>46297</v>
      </c>
      <c r="D629" s="6">
        <v>2.6002314814814813</v>
      </c>
      <c r="E629" s="5">
        <v>46297</v>
      </c>
      <c r="F629" t="s">
        <v>24</v>
      </c>
      <c r="G629" t="s">
        <v>25</v>
      </c>
      <c r="H629" t="s">
        <v>26</v>
      </c>
      <c r="I629" t="s">
        <v>27</v>
      </c>
      <c r="J629" t="s">
        <v>27</v>
      </c>
      <c r="K629" t="s">
        <v>534</v>
      </c>
      <c r="L629" s="2" t="s">
        <v>143</v>
      </c>
      <c r="M629" s="8" t="s">
        <v>144</v>
      </c>
      <c r="N629" s="7">
        <v>1.25</v>
      </c>
      <c r="O629" s="2">
        <v>2</v>
      </c>
      <c r="P629" s="7">
        <v>2.5</v>
      </c>
      <c r="Q629" s="7">
        <v>0</v>
      </c>
      <c r="R629" s="7">
        <v>0</v>
      </c>
      <c r="S629" s="7">
        <v>2.41</v>
      </c>
      <c r="T629" s="7">
        <v>2.5</v>
      </c>
      <c r="U629">
        <v>9</v>
      </c>
      <c r="V629">
        <v>9</v>
      </c>
    </row>
    <row r="630" spans="1:22">
      <c r="A630">
        <v>626</v>
      </c>
      <c r="B630" s="4">
        <v>46297.604409722226</v>
      </c>
      <c r="C630" s="5">
        <v>46297</v>
      </c>
      <c r="D630" s="6">
        <v>2.604409722222222</v>
      </c>
      <c r="E630" s="5">
        <v>46297</v>
      </c>
      <c r="F630" t="s">
        <v>24</v>
      </c>
      <c r="G630" t="s">
        <v>25</v>
      </c>
      <c r="H630" t="s">
        <v>26</v>
      </c>
      <c r="I630" t="s">
        <v>27</v>
      </c>
      <c r="J630" t="s">
        <v>27</v>
      </c>
      <c r="K630" t="s">
        <v>535</v>
      </c>
      <c r="L630" s="2" t="s">
        <v>176</v>
      </c>
      <c r="M630" s="8" t="s">
        <v>177</v>
      </c>
      <c r="N630" s="7">
        <v>2.16</v>
      </c>
      <c r="O630" s="2">
        <v>1</v>
      </c>
      <c r="P630" s="7">
        <v>2.16</v>
      </c>
      <c r="Q630" s="7">
        <v>0</v>
      </c>
      <c r="R630" s="7">
        <v>0.34</v>
      </c>
      <c r="S630" s="7">
        <v>2.1</v>
      </c>
      <c r="T630" s="7">
        <v>2.5</v>
      </c>
      <c r="U630">
        <v>9</v>
      </c>
      <c r="V630">
        <v>9</v>
      </c>
    </row>
    <row r="631" spans="1:22">
      <c r="A631">
        <v>627</v>
      </c>
      <c r="B631" s="4">
        <v>46297.606736111113</v>
      </c>
      <c r="C631" s="5">
        <v>46297</v>
      </c>
      <c r="D631" s="6">
        <v>2.6073726851851853</v>
      </c>
      <c r="E631" s="5">
        <v>46297</v>
      </c>
      <c r="F631" t="s">
        <v>24</v>
      </c>
      <c r="G631" t="s">
        <v>25</v>
      </c>
      <c r="H631" t="s">
        <v>26</v>
      </c>
      <c r="I631" t="s">
        <v>27</v>
      </c>
      <c r="J631" t="s">
        <v>27</v>
      </c>
      <c r="K631" t="s">
        <v>536</v>
      </c>
      <c r="L631" s="2" t="s">
        <v>50</v>
      </c>
      <c r="M631" s="8" t="s">
        <v>51</v>
      </c>
      <c r="N631" s="7">
        <v>0.43</v>
      </c>
      <c r="O631" s="2">
        <v>1</v>
      </c>
      <c r="P631" s="7">
        <v>0.43</v>
      </c>
      <c r="Q631" s="7">
        <v>0</v>
      </c>
      <c r="R631" s="7">
        <v>7.0000000000000007E-2</v>
      </c>
      <c r="S631" s="7">
        <v>0.41</v>
      </c>
      <c r="T631" s="7">
        <v>0.5</v>
      </c>
      <c r="U631">
        <v>9</v>
      </c>
      <c r="V631">
        <v>9</v>
      </c>
    </row>
    <row r="632" spans="1:22">
      <c r="A632">
        <v>628</v>
      </c>
      <c r="B632" s="4">
        <v>46297.606736111113</v>
      </c>
      <c r="C632" s="5">
        <v>46297</v>
      </c>
      <c r="D632" s="6">
        <v>2.6078125000000001</v>
      </c>
      <c r="E632" s="5">
        <v>46297</v>
      </c>
      <c r="F632" t="s">
        <v>24</v>
      </c>
      <c r="G632" t="s">
        <v>25</v>
      </c>
      <c r="H632" t="s">
        <v>26</v>
      </c>
      <c r="I632" t="s">
        <v>27</v>
      </c>
      <c r="J632" t="s">
        <v>27</v>
      </c>
      <c r="K632" t="s">
        <v>536</v>
      </c>
      <c r="L632" s="2" t="s">
        <v>224</v>
      </c>
      <c r="M632" s="8" t="s">
        <v>225</v>
      </c>
      <c r="N632" s="7">
        <v>0.81</v>
      </c>
      <c r="O632" s="2">
        <v>1</v>
      </c>
      <c r="P632" s="7">
        <v>0.81</v>
      </c>
      <c r="Q632" s="7">
        <v>0</v>
      </c>
      <c r="R632" s="7">
        <v>0.13</v>
      </c>
      <c r="S632" s="7">
        <v>0.79</v>
      </c>
      <c r="T632" s="7">
        <v>0.94</v>
      </c>
      <c r="U632">
        <v>9</v>
      </c>
      <c r="V632">
        <v>9</v>
      </c>
    </row>
    <row r="633" spans="1:22">
      <c r="A633">
        <v>629</v>
      </c>
      <c r="B633" s="4">
        <v>46297.621041666665</v>
      </c>
      <c r="C633" s="5">
        <v>46297</v>
      </c>
      <c r="D633" s="6">
        <v>2.6210300925925925</v>
      </c>
      <c r="E633" s="5">
        <v>46297</v>
      </c>
      <c r="F633" t="s">
        <v>24</v>
      </c>
      <c r="G633" t="s">
        <v>25</v>
      </c>
      <c r="H633" t="s">
        <v>26</v>
      </c>
      <c r="I633" t="s">
        <v>27</v>
      </c>
      <c r="J633" t="s">
        <v>27</v>
      </c>
      <c r="K633" t="s">
        <v>537</v>
      </c>
      <c r="L633" s="2" t="s">
        <v>344</v>
      </c>
      <c r="M633" s="8" t="s">
        <v>345</v>
      </c>
      <c r="N633" s="7">
        <v>0.38</v>
      </c>
      <c r="O633" s="2">
        <v>1</v>
      </c>
      <c r="P633" s="7">
        <v>0.38</v>
      </c>
      <c r="Q633" s="7">
        <v>0</v>
      </c>
      <c r="R633" s="7">
        <v>0.06</v>
      </c>
      <c r="S633" s="7">
        <v>0.37</v>
      </c>
      <c r="T633" s="7">
        <v>0.44</v>
      </c>
      <c r="U633">
        <v>9</v>
      </c>
      <c r="V633">
        <v>9</v>
      </c>
    </row>
    <row r="634" spans="1:22">
      <c r="A634">
        <v>630</v>
      </c>
      <c r="B634" s="4">
        <v>46297.621041666665</v>
      </c>
      <c r="C634" s="5">
        <v>46297</v>
      </c>
      <c r="D634" s="6">
        <v>2.6263888888888891</v>
      </c>
      <c r="E634" s="5">
        <v>46297</v>
      </c>
      <c r="F634" t="s">
        <v>24</v>
      </c>
      <c r="G634" t="s">
        <v>25</v>
      </c>
      <c r="H634" t="s">
        <v>26</v>
      </c>
      <c r="I634" t="s">
        <v>27</v>
      </c>
      <c r="J634" t="s">
        <v>27</v>
      </c>
      <c r="K634" t="s">
        <v>537</v>
      </c>
      <c r="L634" s="3" t="s">
        <v>231</v>
      </c>
      <c r="M634" s="8" t="s">
        <v>232</v>
      </c>
      <c r="N634" s="7">
        <v>0.55000000000000004</v>
      </c>
      <c r="O634" s="2">
        <v>2</v>
      </c>
      <c r="P634" s="7">
        <v>1.1000000000000001</v>
      </c>
      <c r="Q634" s="7">
        <v>0</v>
      </c>
      <c r="R634" s="7">
        <v>0.17</v>
      </c>
      <c r="S634" s="7">
        <v>1.08</v>
      </c>
      <c r="T634" s="7">
        <v>1.27</v>
      </c>
      <c r="U634">
        <v>9</v>
      </c>
      <c r="V634">
        <v>9</v>
      </c>
    </row>
    <row r="635" spans="1:22">
      <c r="A635">
        <v>631</v>
      </c>
      <c r="B635" s="4">
        <v>46297.629490740743</v>
      </c>
      <c r="C635" s="5">
        <v>46297</v>
      </c>
      <c r="D635" s="6">
        <v>2.6294907407407409</v>
      </c>
      <c r="E635" s="5">
        <v>46297</v>
      </c>
      <c r="F635" t="s">
        <v>24</v>
      </c>
      <c r="G635" t="s">
        <v>25</v>
      </c>
      <c r="H635" t="s">
        <v>26</v>
      </c>
      <c r="I635" t="s">
        <v>27</v>
      </c>
      <c r="J635" t="s">
        <v>27</v>
      </c>
      <c r="K635" t="s">
        <v>538</v>
      </c>
      <c r="L635" s="2" t="s">
        <v>50</v>
      </c>
      <c r="M635" s="8" t="s">
        <v>51</v>
      </c>
      <c r="N635" s="7">
        <v>0.43</v>
      </c>
      <c r="O635" s="2">
        <v>1</v>
      </c>
      <c r="P635" s="7">
        <v>0.43</v>
      </c>
      <c r="Q635" s="7">
        <v>0</v>
      </c>
      <c r="R635" s="7">
        <v>7.0000000000000007E-2</v>
      </c>
      <c r="S635" s="7">
        <v>0.41</v>
      </c>
      <c r="T635" s="7">
        <v>0.5</v>
      </c>
      <c r="U635">
        <v>9</v>
      </c>
      <c r="V635">
        <v>9</v>
      </c>
    </row>
    <row r="636" spans="1:22">
      <c r="A636">
        <v>632</v>
      </c>
      <c r="B636" s="4">
        <v>46297.629490740743</v>
      </c>
      <c r="C636" s="5">
        <v>46297</v>
      </c>
      <c r="D636" s="6">
        <v>2.6295833333333332</v>
      </c>
      <c r="E636" s="5">
        <v>46297</v>
      </c>
      <c r="F636" t="s">
        <v>24</v>
      </c>
      <c r="G636" t="s">
        <v>25</v>
      </c>
      <c r="H636" t="s">
        <v>26</v>
      </c>
      <c r="I636" t="s">
        <v>27</v>
      </c>
      <c r="J636" t="s">
        <v>27</v>
      </c>
      <c r="K636" t="s">
        <v>538</v>
      </c>
      <c r="L636" s="2" t="s">
        <v>47</v>
      </c>
      <c r="M636" s="8" t="s">
        <v>48</v>
      </c>
      <c r="N636" s="7">
        <v>0.05</v>
      </c>
      <c r="O636" s="2">
        <v>2</v>
      </c>
      <c r="P636" s="7">
        <v>0.1</v>
      </c>
      <c r="Q636" s="7">
        <v>0</v>
      </c>
      <c r="R636" s="7">
        <v>0.02</v>
      </c>
      <c r="S636" s="7">
        <v>0.05</v>
      </c>
      <c r="T636" s="7">
        <v>0.12</v>
      </c>
      <c r="U636">
        <v>9</v>
      </c>
      <c r="V636">
        <v>9</v>
      </c>
    </row>
    <row r="637" spans="1:22">
      <c r="A637">
        <v>633</v>
      </c>
      <c r="B637" s="4">
        <v>46297.635555555556</v>
      </c>
      <c r="C637" s="5">
        <v>46297</v>
      </c>
      <c r="D637" s="6">
        <v>2.6355555555555554</v>
      </c>
      <c r="E637" s="5">
        <v>46297</v>
      </c>
      <c r="F637" t="s">
        <v>24</v>
      </c>
      <c r="G637" t="s">
        <v>25</v>
      </c>
      <c r="H637" t="s">
        <v>26</v>
      </c>
      <c r="I637" t="s">
        <v>27</v>
      </c>
      <c r="J637" t="s">
        <v>27</v>
      </c>
      <c r="K637" t="s">
        <v>539</v>
      </c>
      <c r="L637" s="3" t="s">
        <v>231</v>
      </c>
      <c r="M637" s="8" t="s">
        <v>232</v>
      </c>
      <c r="N637" s="7">
        <v>0.55000000000000004</v>
      </c>
      <c r="O637" s="2">
        <v>1</v>
      </c>
      <c r="P637" s="7">
        <v>0.55000000000000004</v>
      </c>
      <c r="Q637" s="7">
        <v>0</v>
      </c>
      <c r="R637" s="7">
        <v>0.08</v>
      </c>
      <c r="S637" s="7">
        <v>0.54</v>
      </c>
      <c r="T637" s="7">
        <v>0.63</v>
      </c>
      <c r="U637">
        <v>9</v>
      </c>
      <c r="V637">
        <v>9</v>
      </c>
    </row>
    <row r="638" spans="1:22">
      <c r="A638">
        <v>634</v>
      </c>
      <c r="B638" s="4">
        <v>46297.646956018521</v>
      </c>
      <c r="C638" s="5">
        <v>46297</v>
      </c>
      <c r="D638" s="6">
        <v>2.6469444444444443</v>
      </c>
      <c r="E638" s="5">
        <v>46297</v>
      </c>
      <c r="F638" t="s">
        <v>24</v>
      </c>
      <c r="G638" t="s">
        <v>25</v>
      </c>
      <c r="H638" t="s">
        <v>26</v>
      </c>
      <c r="I638" t="s">
        <v>27</v>
      </c>
      <c r="J638" t="s">
        <v>27</v>
      </c>
      <c r="K638" t="s">
        <v>540</v>
      </c>
      <c r="L638" s="2" t="s">
        <v>35</v>
      </c>
      <c r="M638" s="8" t="s">
        <v>36</v>
      </c>
      <c r="N638" s="7">
        <v>0.81</v>
      </c>
      <c r="O638" s="2">
        <v>1</v>
      </c>
      <c r="P638" s="7">
        <v>0.81</v>
      </c>
      <c r="Q638" s="7">
        <v>0</v>
      </c>
      <c r="R638" s="7">
        <v>0.13</v>
      </c>
      <c r="S638" s="7">
        <v>0.38</v>
      </c>
      <c r="T638" s="7">
        <v>0.94</v>
      </c>
      <c r="U638">
        <v>9</v>
      </c>
      <c r="V638">
        <v>9</v>
      </c>
    </row>
    <row r="639" spans="1:22">
      <c r="A639">
        <v>635</v>
      </c>
      <c r="B639" s="4">
        <v>46297.647951388892</v>
      </c>
      <c r="C639" s="5">
        <v>46297</v>
      </c>
      <c r="D639" s="6">
        <v>2.647951388888889</v>
      </c>
      <c r="E639" s="5">
        <v>46297</v>
      </c>
      <c r="F639" t="s">
        <v>24</v>
      </c>
      <c r="G639" t="s">
        <v>25</v>
      </c>
      <c r="H639" t="s">
        <v>26</v>
      </c>
      <c r="I639" t="s">
        <v>27</v>
      </c>
      <c r="J639" t="s">
        <v>27</v>
      </c>
      <c r="K639" t="s">
        <v>541</v>
      </c>
      <c r="L639" s="2" t="s">
        <v>38</v>
      </c>
      <c r="M639" s="8" t="s">
        <v>39</v>
      </c>
      <c r="N639" s="7">
        <v>0.03</v>
      </c>
      <c r="O639" s="2">
        <v>2</v>
      </c>
      <c r="P639" s="7">
        <v>0.06</v>
      </c>
      <c r="Q639" s="7">
        <v>0</v>
      </c>
      <c r="R639" s="7">
        <v>0.01</v>
      </c>
      <c r="S639" s="7">
        <v>0.02</v>
      </c>
      <c r="T639" s="7">
        <v>7.0000000000000007E-2</v>
      </c>
      <c r="U639">
        <v>9</v>
      </c>
      <c r="V639">
        <v>9</v>
      </c>
    </row>
    <row r="640" spans="1:22">
      <c r="A640">
        <v>636</v>
      </c>
      <c r="B640" s="4">
        <v>46297.660185185188</v>
      </c>
      <c r="C640" s="5">
        <v>46297</v>
      </c>
      <c r="D640" s="6">
        <v>2.6601851851851852</v>
      </c>
      <c r="E640" s="5">
        <v>46297</v>
      </c>
      <c r="F640" t="s">
        <v>24</v>
      </c>
      <c r="G640" t="s">
        <v>25</v>
      </c>
      <c r="H640" t="s">
        <v>26</v>
      </c>
      <c r="I640" t="s">
        <v>27</v>
      </c>
      <c r="J640" t="s">
        <v>27</v>
      </c>
      <c r="K640" t="s">
        <v>542</v>
      </c>
      <c r="L640" s="2" t="s">
        <v>218</v>
      </c>
      <c r="M640" s="8" t="s">
        <v>219</v>
      </c>
      <c r="N640" s="7">
        <v>1.63</v>
      </c>
      <c r="O640" s="2">
        <v>1</v>
      </c>
      <c r="P640" s="7">
        <v>1.63</v>
      </c>
      <c r="Q640" s="7">
        <v>0</v>
      </c>
      <c r="R640" s="7">
        <v>0.25</v>
      </c>
      <c r="S640" s="7">
        <v>1.57</v>
      </c>
      <c r="T640" s="7">
        <v>1.88</v>
      </c>
      <c r="U640">
        <v>9</v>
      </c>
      <c r="V640">
        <v>9</v>
      </c>
    </row>
    <row r="641" spans="1:22">
      <c r="A641">
        <v>637</v>
      </c>
      <c r="B641" s="4">
        <v>46297.660185185188</v>
      </c>
      <c r="C641" s="5">
        <v>46297</v>
      </c>
      <c r="D641" s="6">
        <v>2.6606828703703704</v>
      </c>
      <c r="E641" s="5">
        <v>46297</v>
      </c>
      <c r="F641" t="s">
        <v>24</v>
      </c>
      <c r="G641" t="s">
        <v>25</v>
      </c>
      <c r="H641" t="s">
        <v>26</v>
      </c>
      <c r="I641" t="s">
        <v>27</v>
      </c>
      <c r="J641" t="s">
        <v>27</v>
      </c>
      <c r="K641" t="s">
        <v>542</v>
      </c>
      <c r="L641" s="2" t="s">
        <v>120</v>
      </c>
      <c r="M641" s="8" t="s">
        <v>121</v>
      </c>
      <c r="N641" s="7">
        <v>0.81</v>
      </c>
      <c r="O641" s="2">
        <v>1</v>
      </c>
      <c r="P641" s="7">
        <v>0.81</v>
      </c>
      <c r="Q641" s="7">
        <v>0</v>
      </c>
      <c r="R641" s="7">
        <v>0.13</v>
      </c>
      <c r="S641" s="7">
        <v>0.79</v>
      </c>
      <c r="T641" s="7">
        <v>0.94</v>
      </c>
      <c r="U641">
        <v>9</v>
      </c>
      <c r="V641">
        <v>9</v>
      </c>
    </row>
    <row r="642" spans="1:22">
      <c r="A642">
        <v>638</v>
      </c>
      <c r="B642" s="4">
        <v>46297.660185185188</v>
      </c>
      <c r="C642" s="5">
        <v>46297</v>
      </c>
      <c r="D642" s="6">
        <v>2.6610532407407406</v>
      </c>
      <c r="E642" s="5">
        <v>46297</v>
      </c>
      <c r="F642" t="s">
        <v>24</v>
      </c>
      <c r="G642" t="s">
        <v>25</v>
      </c>
      <c r="H642" t="s">
        <v>26</v>
      </c>
      <c r="I642" t="s">
        <v>27</v>
      </c>
      <c r="J642" t="s">
        <v>27</v>
      </c>
      <c r="K642" t="s">
        <v>542</v>
      </c>
      <c r="L642" s="2" t="s">
        <v>267</v>
      </c>
      <c r="M642" s="8" t="s">
        <v>268</v>
      </c>
      <c r="N642" s="7">
        <v>0.65</v>
      </c>
      <c r="O642" s="2">
        <v>1</v>
      </c>
      <c r="P642" s="7">
        <v>0.65</v>
      </c>
      <c r="Q642" s="7">
        <v>0</v>
      </c>
      <c r="R642" s="7">
        <v>0.1</v>
      </c>
      <c r="S642" s="7">
        <v>0.63</v>
      </c>
      <c r="T642" s="7">
        <v>0.75</v>
      </c>
      <c r="U642">
        <v>9</v>
      </c>
      <c r="V642">
        <v>9</v>
      </c>
    </row>
    <row r="643" spans="1:22">
      <c r="A643">
        <v>639</v>
      </c>
      <c r="B643" s="4">
        <v>46297.661365740743</v>
      </c>
      <c r="C643" s="5">
        <v>46297</v>
      </c>
      <c r="D643" s="6">
        <v>2.6613657407407407</v>
      </c>
      <c r="E643" s="5">
        <v>46297</v>
      </c>
      <c r="F643" t="s">
        <v>24</v>
      </c>
      <c r="G643" t="s">
        <v>25</v>
      </c>
      <c r="H643" t="s">
        <v>26</v>
      </c>
      <c r="I643" t="s">
        <v>27</v>
      </c>
      <c r="J643" t="s">
        <v>27</v>
      </c>
      <c r="K643" t="s">
        <v>543</v>
      </c>
      <c r="L643" s="2" t="s">
        <v>38</v>
      </c>
      <c r="M643" s="8" t="s">
        <v>39</v>
      </c>
      <c r="N643" s="7">
        <v>0.03</v>
      </c>
      <c r="O643" s="2">
        <v>3</v>
      </c>
      <c r="P643" s="7">
        <v>0.09</v>
      </c>
      <c r="Q643" s="7">
        <v>0</v>
      </c>
      <c r="R643" s="7">
        <v>0.01</v>
      </c>
      <c r="S643" s="7">
        <v>0.03</v>
      </c>
      <c r="T643" s="7">
        <v>0.1</v>
      </c>
      <c r="U643">
        <v>9</v>
      </c>
      <c r="V643">
        <v>9</v>
      </c>
    </row>
    <row r="644" spans="1:22">
      <c r="A644">
        <v>640</v>
      </c>
      <c r="B644" s="4">
        <v>46297.667048611111</v>
      </c>
      <c r="C644" s="5">
        <v>46297</v>
      </c>
      <c r="D644" s="6">
        <v>2.6670486111111109</v>
      </c>
      <c r="E644" s="5">
        <v>46297</v>
      </c>
      <c r="F644" t="s">
        <v>24</v>
      </c>
      <c r="G644" t="s">
        <v>25</v>
      </c>
      <c r="H644" t="s">
        <v>26</v>
      </c>
      <c r="I644" t="s">
        <v>27</v>
      </c>
      <c r="J644" t="s">
        <v>27</v>
      </c>
      <c r="K644" t="s">
        <v>544</v>
      </c>
      <c r="L644" s="2" t="s">
        <v>47</v>
      </c>
      <c r="M644" s="8" t="s">
        <v>48</v>
      </c>
      <c r="N644" s="7">
        <v>0.05</v>
      </c>
      <c r="O644" s="2">
        <v>5</v>
      </c>
      <c r="P644" s="7">
        <v>0.25</v>
      </c>
      <c r="Q644" s="7">
        <v>0</v>
      </c>
      <c r="R644" s="7">
        <v>0.04</v>
      </c>
      <c r="S644" s="7">
        <v>0.11</v>
      </c>
      <c r="T644" s="7">
        <v>0.28999999999999998</v>
      </c>
      <c r="U644">
        <v>9</v>
      </c>
      <c r="V644">
        <v>9</v>
      </c>
    </row>
    <row r="645" spans="1:22">
      <c r="A645">
        <v>641</v>
      </c>
      <c r="B645" s="4">
        <v>46297.667048611111</v>
      </c>
      <c r="C645" s="5">
        <v>46297</v>
      </c>
      <c r="D645" s="6">
        <v>2.6671064814814813</v>
      </c>
      <c r="E645" s="5">
        <v>46297</v>
      </c>
      <c r="F645" t="s">
        <v>24</v>
      </c>
      <c r="G645" t="s">
        <v>25</v>
      </c>
      <c r="H645" t="s">
        <v>26</v>
      </c>
      <c r="I645" t="s">
        <v>27</v>
      </c>
      <c r="J645" t="s">
        <v>27</v>
      </c>
      <c r="K645" t="s">
        <v>544</v>
      </c>
      <c r="L645" s="2" t="s">
        <v>215</v>
      </c>
      <c r="M645" s="8" t="s">
        <v>216</v>
      </c>
      <c r="N645" s="7">
        <v>0.81</v>
      </c>
      <c r="O645" s="2">
        <v>1</v>
      </c>
      <c r="P645" s="7">
        <v>0.81</v>
      </c>
      <c r="Q645" s="7">
        <v>0</v>
      </c>
      <c r="R645" s="7">
        <v>0.13</v>
      </c>
      <c r="S645" s="7">
        <v>0.78</v>
      </c>
      <c r="T645" s="7">
        <v>0.94</v>
      </c>
      <c r="U645">
        <v>9</v>
      </c>
      <c r="V645">
        <v>9</v>
      </c>
    </row>
    <row r="646" spans="1:22">
      <c r="A646">
        <v>642</v>
      </c>
      <c r="B646" s="4">
        <v>46297.673009259262</v>
      </c>
      <c r="C646" s="5">
        <v>46297</v>
      </c>
      <c r="D646" s="6">
        <v>2.6730092592592594</v>
      </c>
      <c r="E646" s="5">
        <v>46297</v>
      </c>
      <c r="F646" t="s">
        <v>24</v>
      </c>
      <c r="G646" t="s">
        <v>25</v>
      </c>
      <c r="H646" t="s">
        <v>26</v>
      </c>
      <c r="I646" t="s">
        <v>27</v>
      </c>
      <c r="J646" t="s">
        <v>27</v>
      </c>
      <c r="K646" t="s">
        <v>545</v>
      </c>
      <c r="L646" s="2" t="s">
        <v>224</v>
      </c>
      <c r="M646" s="8" t="s">
        <v>225</v>
      </c>
      <c r="N646" s="7">
        <v>0.81</v>
      </c>
      <c r="O646" s="2">
        <v>1</v>
      </c>
      <c r="P646" s="7">
        <v>0.81</v>
      </c>
      <c r="Q646" s="7">
        <v>0</v>
      </c>
      <c r="R646" s="7">
        <v>0.13</v>
      </c>
      <c r="S646" s="7">
        <v>0.79</v>
      </c>
      <c r="T646" s="7">
        <v>0.94</v>
      </c>
      <c r="U646">
        <v>9</v>
      </c>
      <c r="V646">
        <v>9</v>
      </c>
    </row>
    <row r="647" spans="1:22">
      <c r="A647">
        <v>643</v>
      </c>
      <c r="B647" s="4">
        <v>46297.673009259262</v>
      </c>
      <c r="C647" s="5">
        <v>46297</v>
      </c>
      <c r="D647" s="6">
        <v>2.6730787037037036</v>
      </c>
      <c r="E647" s="5">
        <v>46297</v>
      </c>
      <c r="F647" t="s">
        <v>24</v>
      </c>
      <c r="G647" t="s">
        <v>25</v>
      </c>
      <c r="H647" t="s">
        <v>26</v>
      </c>
      <c r="I647" t="s">
        <v>27</v>
      </c>
      <c r="J647" t="s">
        <v>27</v>
      </c>
      <c r="K647" t="s">
        <v>545</v>
      </c>
      <c r="L647" s="2" t="s">
        <v>474</v>
      </c>
      <c r="M647" s="8" t="s">
        <v>475</v>
      </c>
      <c r="N647" s="7">
        <v>1.25</v>
      </c>
      <c r="O647" s="2">
        <v>2</v>
      </c>
      <c r="P647" s="7">
        <v>2.5</v>
      </c>
      <c r="Q647" s="7">
        <v>0</v>
      </c>
      <c r="R647" s="7">
        <v>0</v>
      </c>
      <c r="S647" s="7">
        <v>2.4300000000000002</v>
      </c>
      <c r="T647" s="7">
        <v>2.5</v>
      </c>
      <c r="U647">
        <v>9</v>
      </c>
      <c r="V647">
        <v>9</v>
      </c>
    </row>
    <row r="648" spans="1:22">
      <c r="A648">
        <v>644</v>
      </c>
      <c r="B648" s="4">
        <v>46297.673009259262</v>
      </c>
      <c r="C648" s="5">
        <v>46297</v>
      </c>
      <c r="D648" s="6">
        <v>2.6731828703703702</v>
      </c>
      <c r="E648" s="5">
        <v>46297</v>
      </c>
      <c r="F648" t="s">
        <v>24</v>
      </c>
      <c r="G648" t="s">
        <v>25</v>
      </c>
      <c r="H648" t="s">
        <v>26</v>
      </c>
      <c r="I648" t="s">
        <v>27</v>
      </c>
      <c r="J648" t="s">
        <v>27</v>
      </c>
      <c r="K648" t="s">
        <v>545</v>
      </c>
      <c r="L648" s="2" t="s">
        <v>221</v>
      </c>
      <c r="M648" s="8" t="s">
        <v>222</v>
      </c>
      <c r="N648" s="7">
        <v>0.81</v>
      </c>
      <c r="O648" s="2">
        <v>1</v>
      </c>
      <c r="P648" s="7">
        <v>0.81</v>
      </c>
      <c r="Q648" s="7">
        <v>0</v>
      </c>
      <c r="R648" s="7">
        <v>0.13</v>
      </c>
      <c r="S648" s="7">
        <v>0.78</v>
      </c>
      <c r="T648" s="7">
        <v>0.94</v>
      </c>
      <c r="U648">
        <v>9</v>
      </c>
      <c r="V648">
        <v>9</v>
      </c>
    </row>
    <row r="649" spans="1:22">
      <c r="A649">
        <v>645</v>
      </c>
      <c r="B649" s="4">
        <v>46297.682812500003</v>
      </c>
      <c r="C649" s="5">
        <v>46297</v>
      </c>
      <c r="D649" s="6">
        <v>2.682800925925926</v>
      </c>
      <c r="E649" s="5">
        <v>46297</v>
      </c>
      <c r="F649" t="s">
        <v>24</v>
      </c>
      <c r="G649" t="s">
        <v>25</v>
      </c>
      <c r="H649" t="s">
        <v>26</v>
      </c>
      <c r="I649" t="s">
        <v>27</v>
      </c>
      <c r="J649" t="s">
        <v>27</v>
      </c>
      <c r="K649" t="s">
        <v>546</v>
      </c>
      <c r="L649" s="2" t="s">
        <v>63</v>
      </c>
      <c r="M649" s="8" t="s">
        <v>64</v>
      </c>
      <c r="N649" s="7">
        <v>1.9</v>
      </c>
      <c r="O649" s="2">
        <v>1</v>
      </c>
      <c r="P649" s="7">
        <v>1.9</v>
      </c>
      <c r="Q649" s="7">
        <v>0</v>
      </c>
      <c r="R649" s="7">
        <v>0.28999999999999998</v>
      </c>
      <c r="S649" s="7">
        <v>1.83</v>
      </c>
      <c r="T649" s="7">
        <v>2.19</v>
      </c>
      <c r="U649">
        <v>9</v>
      </c>
      <c r="V649">
        <v>9</v>
      </c>
    </row>
    <row r="650" spans="1:22">
      <c r="A650">
        <v>646</v>
      </c>
      <c r="B650" s="4">
        <v>46297.684039351851</v>
      </c>
      <c r="C650" s="5">
        <v>46297</v>
      </c>
      <c r="D650" s="6">
        <v>2.6840393518518519</v>
      </c>
      <c r="E650" s="5">
        <v>46297</v>
      </c>
      <c r="F650" t="s">
        <v>24</v>
      </c>
      <c r="G650" t="s">
        <v>25</v>
      </c>
      <c r="H650" t="s">
        <v>26</v>
      </c>
      <c r="I650" t="s">
        <v>27</v>
      </c>
      <c r="J650" t="s">
        <v>27</v>
      </c>
      <c r="K650" t="s">
        <v>547</v>
      </c>
      <c r="L650" s="2" t="s">
        <v>96</v>
      </c>
      <c r="M650" s="8" t="s">
        <v>97</v>
      </c>
      <c r="N650" s="7">
        <v>1.63</v>
      </c>
      <c r="O650" s="2">
        <v>1</v>
      </c>
      <c r="P650" s="7">
        <v>1.63</v>
      </c>
      <c r="Q650" s="7">
        <v>0</v>
      </c>
      <c r="R650" s="7">
        <v>0.25</v>
      </c>
      <c r="S650" s="7">
        <v>1.56</v>
      </c>
      <c r="T650" s="7">
        <v>1.88</v>
      </c>
      <c r="U650">
        <v>9</v>
      </c>
      <c r="V650">
        <v>9</v>
      </c>
    </row>
    <row r="651" spans="1:22">
      <c r="A651">
        <v>647</v>
      </c>
      <c r="B651" s="4">
        <v>46297.684513888889</v>
      </c>
      <c r="C651" s="5">
        <v>46297</v>
      </c>
      <c r="D651" s="6">
        <v>2.6845023148148148</v>
      </c>
      <c r="E651" s="5">
        <v>46297</v>
      </c>
      <c r="F651" t="s">
        <v>24</v>
      </c>
      <c r="G651" t="s">
        <v>25</v>
      </c>
      <c r="H651" t="s">
        <v>26</v>
      </c>
      <c r="I651" t="s">
        <v>27</v>
      </c>
      <c r="J651" t="s">
        <v>27</v>
      </c>
      <c r="K651" t="s">
        <v>548</v>
      </c>
      <c r="L651" s="2" t="s">
        <v>47</v>
      </c>
      <c r="M651" s="8" t="s">
        <v>48</v>
      </c>
      <c r="N651" s="7">
        <v>0.05</v>
      </c>
      <c r="O651" s="2">
        <v>5</v>
      </c>
      <c r="P651" s="7">
        <v>0.25</v>
      </c>
      <c r="Q651" s="7">
        <v>0</v>
      </c>
      <c r="R651" s="7">
        <v>0.04</v>
      </c>
      <c r="S651" s="7">
        <v>0.11</v>
      </c>
      <c r="T651" s="7">
        <v>0.28999999999999998</v>
      </c>
      <c r="U651">
        <v>9</v>
      </c>
      <c r="V651">
        <v>9</v>
      </c>
    </row>
    <row r="652" spans="1:22">
      <c r="A652">
        <v>648</v>
      </c>
      <c r="B652" s="4">
        <v>46297.68545138889</v>
      </c>
      <c r="C652" s="5">
        <v>46297</v>
      </c>
      <c r="D652" s="6">
        <v>2.6854513888888887</v>
      </c>
      <c r="E652" s="5">
        <v>46297</v>
      </c>
      <c r="F652" t="s">
        <v>24</v>
      </c>
      <c r="G652" t="s">
        <v>25</v>
      </c>
      <c r="H652" t="s">
        <v>26</v>
      </c>
      <c r="I652" t="s">
        <v>27</v>
      </c>
      <c r="J652" t="s">
        <v>27</v>
      </c>
      <c r="K652" t="s">
        <v>549</v>
      </c>
      <c r="L652" s="2" t="s">
        <v>445</v>
      </c>
      <c r="M652" s="8" t="s">
        <v>446</v>
      </c>
      <c r="N652" s="7">
        <v>1.9</v>
      </c>
      <c r="O652" s="2">
        <v>1</v>
      </c>
      <c r="P652" s="7">
        <v>1.9</v>
      </c>
      <c r="Q652" s="7">
        <v>0</v>
      </c>
      <c r="R652" s="7">
        <v>0.28999999999999998</v>
      </c>
      <c r="S652" s="7">
        <v>0.5</v>
      </c>
      <c r="T652" s="7">
        <v>2.19</v>
      </c>
      <c r="U652">
        <v>9</v>
      </c>
      <c r="V652">
        <v>9</v>
      </c>
    </row>
    <row r="653" spans="1:22">
      <c r="A653">
        <v>649</v>
      </c>
      <c r="B653" s="4">
        <v>46297.686226851853</v>
      </c>
      <c r="C653" s="5">
        <v>46297</v>
      </c>
      <c r="D653" s="6">
        <v>2.6862268518518517</v>
      </c>
      <c r="E653" s="5">
        <v>46297</v>
      </c>
      <c r="F653" t="s">
        <v>24</v>
      </c>
      <c r="G653" t="s">
        <v>25</v>
      </c>
      <c r="H653" t="s">
        <v>26</v>
      </c>
      <c r="I653" t="s">
        <v>27</v>
      </c>
      <c r="J653" t="s">
        <v>27</v>
      </c>
      <c r="K653" t="s">
        <v>550</v>
      </c>
      <c r="L653" s="2" t="s">
        <v>35</v>
      </c>
      <c r="M653" s="8" t="s">
        <v>36</v>
      </c>
      <c r="N653" s="7">
        <v>0.81</v>
      </c>
      <c r="O653" s="2">
        <v>1</v>
      </c>
      <c r="P653" s="7">
        <v>0.81</v>
      </c>
      <c r="Q653" s="7">
        <v>0</v>
      </c>
      <c r="R653" s="7">
        <v>0.13</v>
      </c>
      <c r="S653" s="7">
        <v>0.38</v>
      </c>
      <c r="T653" s="7">
        <v>0.94</v>
      </c>
      <c r="U653">
        <v>9</v>
      </c>
      <c r="V653">
        <v>9</v>
      </c>
    </row>
    <row r="654" spans="1:22">
      <c r="A654">
        <v>650</v>
      </c>
      <c r="B654" s="4">
        <v>46297.688344907408</v>
      </c>
      <c r="C654" s="5">
        <v>46297</v>
      </c>
      <c r="D654" s="6">
        <v>2.6883449074074073</v>
      </c>
      <c r="E654" s="5">
        <v>46297</v>
      </c>
      <c r="F654" t="s">
        <v>24</v>
      </c>
      <c r="G654" t="s">
        <v>25</v>
      </c>
      <c r="H654" t="s">
        <v>26</v>
      </c>
      <c r="I654" t="s">
        <v>27</v>
      </c>
      <c r="J654" t="s">
        <v>27</v>
      </c>
      <c r="K654" t="s">
        <v>551</v>
      </c>
      <c r="L654" s="2" t="s">
        <v>109</v>
      </c>
      <c r="M654" s="8" t="s">
        <v>110</v>
      </c>
      <c r="N654" s="7">
        <v>1.08</v>
      </c>
      <c r="O654" s="2">
        <v>1</v>
      </c>
      <c r="P654" s="7">
        <v>1.08</v>
      </c>
      <c r="Q654" s="7">
        <v>0</v>
      </c>
      <c r="R654" s="7">
        <v>0.17</v>
      </c>
      <c r="S654" s="7">
        <v>0.26</v>
      </c>
      <c r="T654" s="7">
        <v>1.25</v>
      </c>
      <c r="U654">
        <v>9</v>
      </c>
      <c r="V654">
        <v>9</v>
      </c>
    </row>
    <row r="655" spans="1:22">
      <c r="A655">
        <v>651</v>
      </c>
      <c r="B655" s="4">
        <v>46297.688344907408</v>
      </c>
      <c r="C655" s="5">
        <v>46297</v>
      </c>
      <c r="D655" s="6">
        <v>2.6922800925925925</v>
      </c>
      <c r="E655" s="5">
        <v>46297</v>
      </c>
      <c r="F655" t="s">
        <v>24</v>
      </c>
      <c r="G655" t="s">
        <v>25</v>
      </c>
      <c r="H655" t="s">
        <v>26</v>
      </c>
      <c r="I655" t="s">
        <v>27</v>
      </c>
      <c r="J655" t="s">
        <v>27</v>
      </c>
      <c r="K655" t="s">
        <v>551</v>
      </c>
      <c r="L655" s="2" t="s">
        <v>109</v>
      </c>
      <c r="M655" s="8" t="s">
        <v>110</v>
      </c>
      <c r="N655" s="7">
        <v>1.08</v>
      </c>
      <c r="O655" s="2">
        <v>2</v>
      </c>
      <c r="P655" s="7">
        <v>2.16</v>
      </c>
      <c r="Q655" s="7">
        <v>0</v>
      </c>
      <c r="R655" s="7">
        <v>0.34</v>
      </c>
      <c r="S655" s="7">
        <v>0.51</v>
      </c>
      <c r="T655" s="7">
        <v>2.5</v>
      </c>
      <c r="U655">
        <v>9</v>
      </c>
      <c r="V655">
        <v>9</v>
      </c>
    </row>
    <row r="656" spans="1:22">
      <c r="A656">
        <v>652</v>
      </c>
      <c r="B656" s="4">
        <v>46297.69703703704</v>
      </c>
      <c r="C656" s="5">
        <v>46297</v>
      </c>
      <c r="D656" s="6">
        <v>2.6970254629629631</v>
      </c>
      <c r="E656" s="5">
        <v>46297</v>
      </c>
      <c r="F656" t="s">
        <v>24</v>
      </c>
      <c r="G656" t="s">
        <v>25</v>
      </c>
      <c r="H656" t="s">
        <v>26</v>
      </c>
      <c r="I656" t="s">
        <v>27</v>
      </c>
      <c r="J656" t="s">
        <v>27</v>
      </c>
      <c r="K656" t="s">
        <v>552</v>
      </c>
      <c r="L656" s="2" t="s">
        <v>283</v>
      </c>
      <c r="M656" s="8" t="s">
        <v>284</v>
      </c>
      <c r="N656" s="7">
        <v>1.08</v>
      </c>
      <c r="O656" s="2">
        <v>1</v>
      </c>
      <c r="P656" s="7">
        <v>1.08</v>
      </c>
      <c r="Q656" s="7">
        <v>0</v>
      </c>
      <c r="R656" s="7">
        <v>0.17</v>
      </c>
      <c r="S656" s="7">
        <v>0.43</v>
      </c>
      <c r="T656" s="7">
        <v>1.25</v>
      </c>
      <c r="U656">
        <v>9</v>
      </c>
      <c r="V656">
        <v>9</v>
      </c>
    </row>
    <row r="657" spans="1:22">
      <c r="A657">
        <v>653</v>
      </c>
      <c r="B657" s="4">
        <v>46297.751006944447</v>
      </c>
      <c r="C657" s="5">
        <v>46297</v>
      </c>
      <c r="D657" s="6">
        <v>2.7509953703703705</v>
      </c>
      <c r="E657" s="5">
        <v>46297</v>
      </c>
      <c r="F657" t="s">
        <v>24</v>
      </c>
      <c r="G657" t="s">
        <v>25</v>
      </c>
      <c r="H657" t="s">
        <v>26</v>
      </c>
      <c r="I657" t="s">
        <v>27</v>
      </c>
      <c r="J657" t="s">
        <v>27</v>
      </c>
      <c r="K657" t="s">
        <v>553</v>
      </c>
      <c r="L657" s="2" t="s">
        <v>554</v>
      </c>
      <c r="M657" s="8" t="s">
        <v>555</v>
      </c>
      <c r="N657" s="7">
        <v>0.55000000000000004</v>
      </c>
      <c r="O657" s="2">
        <v>1</v>
      </c>
      <c r="P657" s="7">
        <v>0.55000000000000004</v>
      </c>
      <c r="Q657" s="7">
        <v>0</v>
      </c>
      <c r="R657" s="7">
        <v>0.08</v>
      </c>
      <c r="S657" s="7">
        <v>0.53</v>
      </c>
      <c r="T657" s="7">
        <v>0.63</v>
      </c>
      <c r="U657">
        <v>9</v>
      </c>
      <c r="V657">
        <v>9</v>
      </c>
    </row>
    <row r="658" spans="1:22">
      <c r="A658">
        <v>654</v>
      </c>
      <c r="B658" s="4">
        <v>46297.766412037039</v>
      </c>
      <c r="C658" s="5">
        <v>46297</v>
      </c>
      <c r="D658" s="6">
        <v>2.766400462962963</v>
      </c>
      <c r="E658" s="5">
        <v>46297</v>
      </c>
      <c r="F658" t="s">
        <v>24</v>
      </c>
      <c r="G658" t="s">
        <v>25</v>
      </c>
      <c r="H658" t="s">
        <v>26</v>
      </c>
      <c r="I658" t="s">
        <v>27</v>
      </c>
      <c r="J658" t="s">
        <v>27</v>
      </c>
      <c r="K658" t="s">
        <v>556</v>
      </c>
      <c r="L658" s="2" t="s">
        <v>557</v>
      </c>
      <c r="M658" s="8" t="s">
        <v>558</v>
      </c>
      <c r="N658" s="7">
        <v>2.71</v>
      </c>
      <c r="O658" s="2">
        <v>1</v>
      </c>
      <c r="P658" s="7">
        <v>2.71</v>
      </c>
      <c r="Q658" s="7">
        <v>0</v>
      </c>
      <c r="R658" s="7">
        <v>0.42</v>
      </c>
      <c r="S658" s="7">
        <v>0.81</v>
      </c>
      <c r="T658" s="7">
        <v>3.13</v>
      </c>
      <c r="U658">
        <v>9</v>
      </c>
      <c r="V658">
        <v>9</v>
      </c>
    </row>
    <row r="659" spans="1:22">
      <c r="A659">
        <v>655</v>
      </c>
      <c r="B659" s="4">
        <v>46297.766412037039</v>
      </c>
      <c r="C659" s="5">
        <v>46297</v>
      </c>
      <c r="D659" s="6">
        <v>2.7674421296296297</v>
      </c>
      <c r="E659" s="5">
        <v>46297</v>
      </c>
      <c r="F659" t="s">
        <v>24</v>
      </c>
      <c r="G659" t="s">
        <v>25</v>
      </c>
      <c r="H659" t="s">
        <v>26</v>
      </c>
      <c r="I659" t="s">
        <v>27</v>
      </c>
      <c r="J659" t="s">
        <v>27</v>
      </c>
      <c r="K659" t="s">
        <v>556</v>
      </c>
      <c r="L659" s="2" t="s">
        <v>53</v>
      </c>
      <c r="M659" s="8" t="s">
        <v>54</v>
      </c>
      <c r="N659" s="7">
        <v>0.38</v>
      </c>
      <c r="O659" s="2">
        <v>4</v>
      </c>
      <c r="P659" s="7">
        <v>1.52</v>
      </c>
      <c r="Q659" s="7">
        <v>0</v>
      </c>
      <c r="R659" s="7">
        <v>0.24</v>
      </c>
      <c r="S659" s="7">
        <v>1.19</v>
      </c>
      <c r="T659" s="7">
        <v>1.76</v>
      </c>
      <c r="U659">
        <v>9</v>
      </c>
      <c r="V659">
        <v>9</v>
      </c>
    </row>
    <row r="660" spans="1:22">
      <c r="A660">
        <v>656</v>
      </c>
      <c r="B660" s="4">
        <v>46297.766412037039</v>
      </c>
      <c r="C660" s="5">
        <v>46297</v>
      </c>
      <c r="D660" s="6">
        <v>2.7676273148148147</v>
      </c>
      <c r="E660" s="5">
        <v>46297</v>
      </c>
      <c r="F660" t="s">
        <v>24</v>
      </c>
      <c r="G660" t="s">
        <v>25</v>
      </c>
      <c r="H660" t="s">
        <v>26</v>
      </c>
      <c r="I660" t="s">
        <v>27</v>
      </c>
      <c r="J660" t="s">
        <v>27</v>
      </c>
      <c r="K660" t="s">
        <v>556</v>
      </c>
      <c r="L660" s="2" t="s">
        <v>53</v>
      </c>
      <c r="M660" s="8" t="s">
        <v>54</v>
      </c>
      <c r="N660" s="7">
        <v>0.38</v>
      </c>
      <c r="O660" s="2">
        <v>4</v>
      </c>
      <c r="P660" s="7">
        <v>1.52</v>
      </c>
      <c r="Q660" s="7">
        <v>0</v>
      </c>
      <c r="R660" s="7">
        <v>0.24</v>
      </c>
      <c r="S660" s="7">
        <v>1.19</v>
      </c>
      <c r="T660" s="7">
        <v>1.76</v>
      </c>
      <c r="U660">
        <v>9</v>
      </c>
      <c r="V660">
        <v>9</v>
      </c>
    </row>
    <row r="661" spans="1:22">
      <c r="A661">
        <v>657</v>
      </c>
      <c r="B661" s="4">
        <v>46297.766412037039</v>
      </c>
      <c r="C661" s="5">
        <v>46297</v>
      </c>
      <c r="D661" s="6">
        <v>2.7707638888888888</v>
      </c>
      <c r="E661" s="5">
        <v>46297</v>
      </c>
      <c r="F661" t="s">
        <v>24</v>
      </c>
      <c r="G661" t="s">
        <v>25</v>
      </c>
      <c r="H661" t="s">
        <v>26</v>
      </c>
      <c r="I661" t="s">
        <v>27</v>
      </c>
      <c r="J661" t="s">
        <v>27</v>
      </c>
      <c r="K661" t="s">
        <v>556</v>
      </c>
      <c r="L661" s="2" t="s">
        <v>88</v>
      </c>
      <c r="M661" s="8" t="s">
        <v>89</v>
      </c>
      <c r="N661" s="7">
        <v>0.81</v>
      </c>
      <c r="O661" s="2">
        <v>1</v>
      </c>
      <c r="P661" s="7">
        <v>0.81</v>
      </c>
      <c r="Q661" s="7">
        <v>0</v>
      </c>
      <c r="R661" s="7">
        <v>0.13</v>
      </c>
      <c r="S661" s="7">
        <v>0.79</v>
      </c>
      <c r="T661" s="7">
        <v>0.94</v>
      </c>
      <c r="U661">
        <v>9</v>
      </c>
      <c r="V661">
        <v>9</v>
      </c>
    </row>
    <row r="662" spans="1:22">
      <c r="A662">
        <v>658</v>
      </c>
      <c r="B662" s="4">
        <v>46297.766412037039</v>
      </c>
      <c r="C662" s="5">
        <v>46297</v>
      </c>
      <c r="D662" s="6">
        <v>2.7708333333333335</v>
      </c>
      <c r="E662" s="5">
        <v>46297</v>
      </c>
      <c r="F662" t="s">
        <v>24</v>
      </c>
      <c r="G662" t="s">
        <v>25</v>
      </c>
      <c r="H662" t="s">
        <v>26</v>
      </c>
      <c r="I662" t="s">
        <v>27</v>
      </c>
      <c r="J662" t="s">
        <v>27</v>
      </c>
      <c r="K662" t="s">
        <v>556</v>
      </c>
      <c r="L662" s="2" t="s">
        <v>92</v>
      </c>
      <c r="M662" s="8" t="s">
        <v>93</v>
      </c>
      <c r="N662" s="7">
        <v>0.65</v>
      </c>
      <c r="O662" s="2">
        <v>2</v>
      </c>
      <c r="P662" s="7">
        <v>1.3</v>
      </c>
      <c r="Q662" s="7">
        <v>0</v>
      </c>
      <c r="R662" s="7">
        <v>0.2</v>
      </c>
      <c r="S662" s="7">
        <v>1.26</v>
      </c>
      <c r="T662" s="7">
        <v>1.5</v>
      </c>
      <c r="U662">
        <v>9</v>
      </c>
      <c r="V662">
        <v>9</v>
      </c>
    </row>
    <row r="663" spans="1:22">
      <c r="A663">
        <v>659</v>
      </c>
      <c r="B663" s="4">
        <v>46297.777233796296</v>
      </c>
      <c r="C663" s="5">
        <v>46297</v>
      </c>
      <c r="D663" s="6">
        <v>2.7772337962962963</v>
      </c>
      <c r="E663" s="5">
        <v>46297</v>
      </c>
      <c r="F663" t="s">
        <v>24</v>
      </c>
      <c r="G663" t="s">
        <v>25</v>
      </c>
      <c r="H663" t="s">
        <v>26</v>
      </c>
      <c r="I663" t="s">
        <v>27</v>
      </c>
      <c r="J663" t="s">
        <v>27</v>
      </c>
      <c r="K663" t="s">
        <v>559</v>
      </c>
      <c r="L663" s="2" t="s">
        <v>474</v>
      </c>
      <c r="M663" s="8" t="s">
        <v>475</v>
      </c>
      <c r="N663" s="7">
        <v>1.25</v>
      </c>
      <c r="O663" s="2">
        <v>1</v>
      </c>
      <c r="P663" s="7">
        <v>1.25</v>
      </c>
      <c r="Q663" s="7">
        <v>0</v>
      </c>
      <c r="R663" s="7">
        <v>0</v>
      </c>
      <c r="S663" s="7">
        <v>1.21</v>
      </c>
      <c r="T663" s="7">
        <v>1.25</v>
      </c>
      <c r="U663">
        <v>9</v>
      </c>
      <c r="V663">
        <v>9</v>
      </c>
    </row>
    <row r="664" spans="1:22">
      <c r="A664">
        <v>660</v>
      </c>
      <c r="B664" s="4">
        <v>46297.780300925922</v>
      </c>
      <c r="C664" s="5">
        <v>46297</v>
      </c>
      <c r="D664" s="6">
        <v>2.7802893518518519</v>
      </c>
      <c r="E664" s="5">
        <v>46297</v>
      </c>
      <c r="F664" t="s">
        <v>24</v>
      </c>
      <c r="G664" t="s">
        <v>25</v>
      </c>
      <c r="H664" t="s">
        <v>26</v>
      </c>
      <c r="I664" t="s">
        <v>27</v>
      </c>
      <c r="J664" t="s">
        <v>27</v>
      </c>
      <c r="K664" t="s">
        <v>560</v>
      </c>
      <c r="L664" s="2" t="s">
        <v>561</v>
      </c>
      <c r="M664" s="8" t="s">
        <v>562</v>
      </c>
      <c r="N664" s="7">
        <v>1.9</v>
      </c>
      <c r="O664" s="2">
        <v>1</v>
      </c>
      <c r="P664" s="7">
        <v>1.9</v>
      </c>
      <c r="Q664" s="7">
        <v>0</v>
      </c>
      <c r="R664" s="7">
        <v>0.28999999999999998</v>
      </c>
      <c r="S664" s="7">
        <v>0.5</v>
      </c>
      <c r="T664" s="7">
        <v>2.19</v>
      </c>
      <c r="U664">
        <v>9</v>
      </c>
      <c r="V664">
        <v>9</v>
      </c>
    </row>
    <row r="665" spans="1:22">
      <c r="A665">
        <v>661</v>
      </c>
      <c r="B665" s="4">
        <v>46297.783032407409</v>
      </c>
      <c r="C665" s="5">
        <v>46297</v>
      </c>
      <c r="D665" s="6">
        <v>2.7830324074074073</v>
      </c>
      <c r="E665" s="5">
        <v>46297</v>
      </c>
      <c r="F665" t="s">
        <v>24</v>
      </c>
      <c r="G665" t="s">
        <v>25</v>
      </c>
      <c r="H665" t="s">
        <v>26</v>
      </c>
      <c r="I665" t="s">
        <v>27</v>
      </c>
      <c r="J665" t="s">
        <v>27</v>
      </c>
      <c r="K665" t="s">
        <v>563</v>
      </c>
      <c r="L665" s="2" t="s">
        <v>146</v>
      </c>
      <c r="M665" s="8" t="s">
        <v>147</v>
      </c>
      <c r="N665" s="7">
        <v>2.16</v>
      </c>
      <c r="O665" s="2">
        <v>1</v>
      </c>
      <c r="P665" s="7">
        <v>2.16</v>
      </c>
      <c r="Q665" s="7">
        <v>0</v>
      </c>
      <c r="R665" s="7">
        <v>0.34</v>
      </c>
      <c r="S665" s="7">
        <v>2.09</v>
      </c>
      <c r="T665" s="7">
        <v>2.5</v>
      </c>
      <c r="U665">
        <v>9</v>
      </c>
      <c r="V665">
        <v>9</v>
      </c>
    </row>
    <row r="666" spans="1:22">
      <c r="A666">
        <v>662</v>
      </c>
      <c r="B666" s="4">
        <v>46297.783032407409</v>
      </c>
      <c r="C666" s="5">
        <v>46297</v>
      </c>
      <c r="D666" s="6">
        <v>2.783101851851852</v>
      </c>
      <c r="E666" s="5">
        <v>46297</v>
      </c>
      <c r="F666" t="s">
        <v>24</v>
      </c>
      <c r="G666" t="s">
        <v>25</v>
      </c>
      <c r="H666" t="s">
        <v>26</v>
      </c>
      <c r="I666" t="s">
        <v>27</v>
      </c>
      <c r="J666" t="s">
        <v>27</v>
      </c>
      <c r="K666" t="s">
        <v>563</v>
      </c>
      <c r="L666" s="2" t="s">
        <v>96</v>
      </c>
      <c r="M666" s="8" t="s">
        <v>97</v>
      </c>
      <c r="N666" s="7">
        <v>1.63</v>
      </c>
      <c r="O666" s="2">
        <v>1</v>
      </c>
      <c r="P666" s="7">
        <v>1.63</v>
      </c>
      <c r="Q666" s="7">
        <v>0</v>
      </c>
      <c r="R666" s="7">
        <v>0.25</v>
      </c>
      <c r="S666" s="7">
        <v>1.56</v>
      </c>
      <c r="T666" s="7">
        <v>1.88</v>
      </c>
      <c r="U666">
        <v>9</v>
      </c>
      <c r="V666">
        <v>9</v>
      </c>
    </row>
    <row r="667" spans="1:22">
      <c r="A667">
        <v>663</v>
      </c>
      <c r="B667" s="4">
        <v>46297.783460648148</v>
      </c>
      <c r="C667" s="5">
        <v>46297</v>
      </c>
      <c r="D667" s="6">
        <v>2.7834606481481483</v>
      </c>
      <c r="E667" s="5">
        <v>46297</v>
      </c>
      <c r="F667" t="s">
        <v>24</v>
      </c>
      <c r="G667" t="s">
        <v>25</v>
      </c>
      <c r="H667" t="s">
        <v>26</v>
      </c>
      <c r="I667" t="s">
        <v>27</v>
      </c>
      <c r="J667" t="s">
        <v>27</v>
      </c>
      <c r="K667" t="s">
        <v>564</v>
      </c>
      <c r="L667" s="2" t="s">
        <v>557</v>
      </c>
      <c r="M667" s="8" t="s">
        <v>558</v>
      </c>
      <c r="N667" s="7">
        <v>2.71</v>
      </c>
      <c r="O667" s="2">
        <v>1</v>
      </c>
      <c r="P667" s="7">
        <v>2.71</v>
      </c>
      <c r="Q667" s="7">
        <v>0</v>
      </c>
      <c r="R667" s="7">
        <v>0.42</v>
      </c>
      <c r="S667" s="7">
        <v>0.81</v>
      </c>
      <c r="T667" s="7">
        <v>3.13</v>
      </c>
      <c r="U667">
        <v>9</v>
      </c>
      <c r="V667">
        <v>9</v>
      </c>
    </row>
    <row r="668" spans="1:22">
      <c r="A668">
        <v>664</v>
      </c>
      <c r="B668" s="4">
        <v>46297.783460648148</v>
      </c>
      <c r="C668" s="5">
        <v>46297</v>
      </c>
      <c r="D668" s="6">
        <v>2.7835300925925925</v>
      </c>
      <c r="E668" s="5">
        <v>46297</v>
      </c>
      <c r="F668" t="s">
        <v>24</v>
      </c>
      <c r="G668" t="s">
        <v>25</v>
      </c>
      <c r="H668" t="s">
        <v>26</v>
      </c>
      <c r="I668" t="s">
        <v>27</v>
      </c>
      <c r="J668" t="s">
        <v>27</v>
      </c>
      <c r="K668" t="s">
        <v>564</v>
      </c>
      <c r="L668" s="3" t="s">
        <v>231</v>
      </c>
      <c r="M668" s="8" t="s">
        <v>232</v>
      </c>
      <c r="N668" s="7">
        <v>0.55000000000000004</v>
      </c>
      <c r="O668" s="2">
        <v>1</v>
      </c>
      <c r="P668" s="7">
        <v>0.55000000000000004</v>
      </c>
      <c r="Q668" s="7">
        <v>0</v>
      </c>
      <c r="R668" s="7">
        <v>0.08</v>
      </c>
      <c r="S668" s="7">
        <v>0.54</v>
      </c>
      <c r="T668" s="7">
        <v>0.63</v>
      </c>
      <c r="U668">
        <v>9</v>
      </c>
      <c r="V668">
        <v>9</v>
      </c>
    </row>
    <row r="669" spans="1:22">
      <c r="A669">
        <v>665</v>
      </c>
      <c r="B669" s="4">
        <v>46297.809872685182</v>
      </c>
      <c r="C669" s="5">
        <v>46297</v>
      </c>
      <c r="D669" s="6">
        <v>2.8098726851851854</v>
      </c>
      <c r="E669" s="5">
        <v>46297</v>
      </c>
      <c r="F669" t="s">
        <v>164</v>
      </c>
      <c r="G669" t="s">
        <v>165</v>
      </c>
      <c r="H669" t="s">
        <v>26</v>
      </c>
      <c r="I669" t="s">
        <v>27</v>
      </c>
      <c r="J669" t="s">
        <v>27</v>
      </c>
      <c r="K669" t="s">
        <v>565</v>
      </c>
      <c r="L669" s="2" t="s">
        <v>146</v>
      </c>
      <c r="M669" s="8" t="s">
        <v>147</v>
      </c>
      <c r="N669" s="7">
        <v>2.16</v>
      </c>
      <c r="O669" s="2">
        <v>1</v>
      </c>
      <c r="P669" s="7">
        <v>2.16</v>
      </c>
      <c r="Q669" s="7">
        <v>0</v>
      </c>
      <c r="R669" s="7">
        <v>0.34</v>
      </c>
      <c r="S669" s="7">
        <v>2.09</v>
      </c>
      <c r="T669" s="7">
        <v>2.5</v>
      </c>
      <c r="U669">
        <v>9</v>
      </c>
      <c r="V669">
        <v>9</v>
      </c>
    </row>
    <row r="670" spans="1:22">
      <c r="A670">
        <v>666</v>
      </c>
      <c r="B670" s="4">
        <v>46297.809872685182</v>
      </c>
      <c r="C670" s="5">
        <v>46297</v>
      </c>
      <c r="D670" s="6">
        <v>2.8099537037037039</v>
      </c>
      <c r="E670" s="5">
        <v>46297</v>
      </c>
      <c r="F670" t="s">
        <v>164</v>
      </c>
      <c r="G670" t="s">
        <v>165</v>
      </c>
      <c r="H670" t="s">
        <v>26</v>
      </c>
      <c r="I670" t="s">
        <v>27</v>
      </c>
      <c r="J670" t="s">
        <v>27</v>
      </c>
      <c r="K670" t="s">
        <v>565</v>
      </c>
      <c r="L670" s="2" t="s">
        <v>143</v>
      </c>
      <c r="M670" s="8" t="s">
        <v>144</v>
      </c>
      <c r="N670" s="7">
        <v>1.25</v>
      </c>
      <c r="O670" s="2">
        <v>1</v>
      </c>
      <c r="P670" s="7">
        <v>1.25</v>
      </c>
      <c r="Q670" s="7">
        <v>0</v>
      </c>
      <c r="R670" s="7">
        <v>0</v>
      </c>
      <c r="S670" s="7">
        <v>1.21</v>
      </c>
      <c r="T670" s="7">
        <v>1.25</v>
      </c>
      <c r="U670">
        <v>9</v>
      </c>
      <c r="V670">
        <v>9</v>
      </c>
    </row>
    <row r="671" spans="1:22">
      <c r="A671">
        <v>667</v>
      </c>
      <c r="B671" s="4">
        <v>46297.809872685182</v>
      </c>
      <c r="C671" s="5">
        <v>46297</v>
      </c>
      <c r="D671" s="6">
        <v>2.8245717592592592</v>
      </c>
      <c r="E671" s="5">
        <v>46297</v>
      </c>
      <c r="F671" t="s">
        <v>164</v>
      </c>
      <c r="G671" t="s">
        <v>165</v>
      </c>
      <c r="H671" t="s">
        <v>26</v>
      </c>
      <c r="I671" t="s">
        <v>27</v>
      </c>
      <c r="J671" t="s">
        <v>27</v>
      </c>
      <c r="K671" t="s">
        <v>565</v>
      </c>
      <c r="L671" s="2" t="s">
        <v>120</v>
      </c>
      <c r="M671" s="8" t="s">
        <v>121</v>
      </c>
      <c r="N671" s="7">
        <v>0.81</v>
      </c>
      <c r="O671" s="2">
        <v>1</v>
      </c>
      <c r="P671" s="7">
        <v>0.81</v>
      </c>
      <c r="Q671" s="7">
        <v>0</v>
      </c>
      <c r="R671" s="7">
        <v>0.13</v>
      </c>
      <c r="S671" s="7">
        <v>0.79</v>
      </c>
      <c r="T671" s="7">
        <v>0.94</v>
      </c>
      <c r="U671">
        <v>9</v>
      </c>
      <c r="V671">
        <v>9</v>
      </c>
    </row>
    <row r="672" spans="1:22">
      <c r="A672">
        <v>668</v>
      </c>
      <c r="B672" s="4">
        <v>46297.809872685182</v>
      </c>
      <c r="C672" s="5">
        <v>46297</v>
      </c>
      <c r="D672" s="6">
        <v>2.8246412037037039</v>
      </c>
      <c r="E672" s="5">
        <v>46297</v>
      </c>
      <c r="F672" t="s">
        <v>164</v>
      </c>
      <c r="G672" t="s">
        <v>165</v>
      </c>
      <c r="H672" t="s">
        <v>26</v>
      </c>
      <c r="I672" t="s">
        <v>27</v>
      </c>
      <c r="J672" t="s">
        <v>27</v>
      </c>
      <c r="K672" t="s">
        <v>565</v>
      </c>
      <c r="L672" s="2" t="s">
        <v>84</v>
      </c>
      <c r="M672" s="8" t="s">
        <v>85</v>
      </c>
      <c r="N672" s="7">
        <v>1.35</v>
      </c>
      <c r="O672" s="2">
        <v>1</v>
      </c>
      <c r="P672" s="7">
        <v>1.35</v>
      </c>
      <c r="Q672" s="7">
        <v>0</v>
      </c>
      <c r="R672" s="7">
        <v>0.21</v>
      </c>
      <c r="S672" s="7">
        <v>1.3</v>
      </c>
      <c r="T672" s="7">
        <v>1.56</v>
      </c>
      <c r="U672">
        <v>9</v>
      </c>
      <c r="V672">
        <v>9</v>
      </c>
    </row>
    <row r="673" spans="1:22">
      <c r="A673">
        <v>669</v>
      </c>
      <c r="B673" s="4">
        <v>46297.809872685182</v>
      </c>
      <c r="C673" s="5">
        <v>46297</v>
      </c>
      <c r="D673" s="6">
        <v>2.8247337962962962</v>
      </c>
      <c r="E673" s="5">
        <v>46297</v>
      </c>
      <c r="F673" t="s">
        <v>164</v>
      </c>
      <c r="G673" t="s">
        <v>165</v>
      </c>
      <c r="H673" t="s">
        <v>26</v>
      </c>
      <c r="I673" t="s">
        <v>27</v>
      </c>
      <c r="J673" t="s">
        <v>27</v>
      </c>
      <c r="K673" t="s">
        <v>565</v>
      </c>
      <c r="L673" s="2" t="s">
        <v>29</v>
      </c>
      <c r="M673" s="8" t="s">
        <v>30</v>
      </c>
      <c r="N673" s="7">
        <v>0.81</v>
      </c>
      <c r="O673" s="2">
        <v>2</v>
      </c>
      <c r="P673" s="7">
        <v>1.62</v>
      </c>
      <c r="Q673" s="7">
        <v>0</v>
      </c>
      <c r="R673" s="7">
        <v>0.25</v>
      </c>
      <c r="S673" s="7">
        <v>0.87</v>
      </c>
      <c r="T673" s="7">
        <v>1.87</v>
      </c>
      <c r="U673">
        <v>9</v>
      </c>
      <c r="V673">
        <v>9</v>
      </c>
    </row>
    <row r="674" spans="1:22">
      <c r="A674">
        <v>670</v>
      </c>
      <c r="B674" s="4">
        <v>46297.809872685182</v>
      </c>
      <c r="C674" s="5">
        <v>46297</v>
      </c>
      <c r="D674" s="6">
        <v>2.8259375000000002</v>
      </c>
      <c r="E674" s="5">
        <v>46297</v>
      </c>
      <c r="F674" t="s">
        <v>164</v>
      </c>
      <c r="G674" t="s">
        <v>165</v>
      </c>
      <c r="H674" t="s">
        <v>26</v>
      </c>
      <c r="I674" t="s">
        <v>27</v>
      </c>
      <c r="J674" t="s">
        <v>27</v>
      </c>
      <c r="K674" t="s">
        <v>565</v>
      </c>
      <c r="L674" s="2" t="s">
        <v>176</v>
      </c>
      <c r="M674" s="8" t="s">
        <v>177</v>
      </c>
      <c r="N674" s="7">
        <v>2.16</v>
      </c>
      <c r="O674" s="2">
        <v>1</v>
      </c>
      <c r="P674" s="7">
        <v>2.16</v>
      </c>
      <c r="Q674" s="7">
        <v>0</v>
      </c>
      <c r="R674" s="7">
        <v>0.34</v>
      </c>
      <c r="S674" s="7">
        <v>2.1</v>
      </c>
      <c r="T674" s="7">
        <v>2.5</v>
      </c>
      <c r="U674">
        <v>9</v>
      </c>
      <c r="V674">
        <v>9</v>
      </c>
    </row>
    <row r="675" spans="1:22">
      <c r="A675">
        <v>671</v>
      </c>
      <c r="B675" s="4">
        <v>46297.809872685182</v>
      </c>
      <c r="C675" s="5">
        <v>46297</v>
      </c>
      <c r="D675" s="6">
        <v>2.8260185185185187</v>
      </c>
      <c r="E675" s="5">
        <v>46297</v>
      </c>
      <c r="F675" t="s">
        <v>164</v>
      </c>
      <c r="G675" t="s">
        <v>165</v>
      </c>
      <c r="H675" t="s">
        <v>26</v>
      </c>
      <c r="I675" t="s">
        <v>27</v>
      </c>
      <c r="J675" t="s">
        <v>27</v>
      </c>
      <c r="K675" t="s">
        <v>565</v>
      </c>
      <c r="L675" s="2" t="s">
        <v>146</v>
      </c>
      <c r="M675" s="8" t="s">
        <v>147</v>
      </c>
      <c r="N675" s="7">
        <v>2.16</v>
      </c>
      <c r="O675" s="2">
        <v>1</v>
      </c>
      <c r="P675" s="7">
        <v>2.16</v>
      </c>
      <c r="Q675" s="7">
        <v>0</v>
      </c>
      <c r="R675" s="7">
        <v>0.34</v>
      </c>
      <c r="S675" s="7">
        <v>2.09</v>
      </c>
      <c r="T675" s="7">
        <v>2.5</v>
      </c>
      <c r="U675">
        <v>9</v>
      </c>
      <c r="V675">
        <v>9</v>
      </c>
    </row>
    <row r="676" spans="1:22">
      <c r="A676">
        <v>672</v>
      </c>
      <c r="B676" s="4">
        <v>46297.809872685182</v>
      </c>
      <c r="C676" s="5">
        <v>46297</v>
      </c>
      <c r="D676" s="6">
        <v>2.8260763888888887</v>
      </c>
      <c r="E676" s="5">
        <v>46297</v>
      </c>
      <c r="F676" t="s">
        <v>164</v>
      </c>
      <c r="G676" t="s">
        <v>165</v>
      </c>
      <c r="H676" t="s">
        <v>26</v>
      </c>
      <c r="I676" t="s">
        <v>27</v>
      </c>
      <c r="J676" t="s">
        <v>27</v>
      </c>
      <c r="K676" t="s">
        <v>565</v>
      </c>
      <c r="L676" s="2" t="s">
        <v>92</v>
      </c>
      <c r="M676" s="8" t="s">
        <v>93</v>
      </c>
      <c r="N676" s="7">
        <v>0.65</v>
      </c>
      <c r="O676" s="2">
        <v>2</v>
      </c>
      <c r="P676" s="7">
        <v>1.3</v>
      </c>
      <c r="Q676" s="7">
        <v>0</v>
      </c>
      <c r="R676" s="7">
        <v>0.2</v>
      </c>
      <c r="S676" s="7">
        <v>1.26</v>
      </c>
      <c r="T676" s="7">
        <v>1.5</v>
      </c>
      <c r="U676">
        <v>9</v>
      </c>
      <c r="V676">
        <v>9</v>
      </c>
    </row>
    <row r="677" spans="1:22">
      <c r="A677">
        <v>673</v>
      </c>
      <c r="B677" s="4">
        <v>46297.832361111112</v>
      </c>
      <c r="C677" s="5">
        <v>46297</v>
      </c>
      <c r="D677" s="6">
        <v>2.8323611111111111</v>
      </c>
      <c r="E677" s="5">
        <v>46297</v>
      </c>
      <c r="F677" t="s">
        <v>164</v>
      </c>
      <c r="G677" t="s">
        <v>165</v>
      </c>
      <c r="H677" t="s">
        <v>26</v>
      </c>
      <c r="I677" t="s">
        <v>27</v>
      </c>
      <c r="J677" t="s">
        <v>27</v>
      </c>
      <c r="K677" t="s">
        <v>566</v>
      </c>
      <c r="L677" s="2" t="s">
        <v>88</v>
      </c>
      <c r="M677" s="8" t="s">
        <v>89</v>
      </c>
      <c r="N677" s="7">
        <v>0.81</v>
      </c>
      <c r="O677" s="2">
        <v>1</v>
      </c>
      <c r="P677" s="7">
        <v>0.81</v>
      </c>
      <c r="Q677" s="7">
        <v>0</v>
      </c>
      <c r="R677" s="7">
        <v>0.13</v>
      </c>
      <c r="S677" s="7">
        <v>0.79</v>
      </c>
      <c r="T677" s="7">
        <v>0.94</v>
      </c>
      <c r="U677">
        <v>9</v>
      </c>
      <c r="V677">
        <v>9</v>
      </c>
    </row>
    <row r="678" spans="1:22">
      <c r="A678">
        <v>674</v>
      </c>
      <c r="B678" s="4">
        <v>46297.838599537034</v>
      </c>
      <c r="C678" s="5">
        <v>46297</v>
      </c>
      <c r="D678" s="6">
        <v>2.8385879629629631</v>
      </c>
      <c r="E678" s="5">
        <v>46297</v>
      </c>
      <c r="F678" t="s">
        <v>164</v>
      </c>
      <c r="G678" t="s">
        <v>165</v>
      </c>
      <c r="H678" t="s">
        <v>26</v>
      </c>
      <c r="I678" t="s">
        <v>27</v>
      </c>
      <c r="J678" t="s">
        <v>27</v>
      </c>
      <c r="K678" t="s">
        <v>567</v>
      </c>
      <c r="L678" s="2" t="s">
        <v>437</v>
      </c>
      <c r="M678" s="8" t="s">
        <v>438</v>
      </c>
      <c r="N678" s="7">
        <v>1.08</v>
      </c>
      <c r="O678" s="2">
        <v>1</v>
      </c>
      <c r="P678" s="7">
        <v>1.08</v>
      </c>
      <c r="Q678" s="7">
        <v>0</v>
      </c>
      <c r="R678" s="7">
        <v>0.17</v>
      </c>
      <c r="S678" s="7">
        <v>0.26</v>
      </c>
      <c r="T678" s="7">
        <v>1.25</v>
      </c>
      <c r="U678">
        <v>9</v>
      </c>
      <c r="V678">
        <v>9</v>
      </c>
    </row>
    <row r="679" spans="1:22">
      <c r="A679">
        <v>675</v>
      </c>
      <c r="B679" s="4">
        <v>46297.841793981483</v>
      </c>
      <c r="C679" s="5">
        <v>46297</v>
      </c>
      <c r="D679" s="6">
        <v>2.8417939814814814</v>
      </c>
      <c r="E679" s="5">
        <v>46297</v>
      </c>
      <c r="F679" t="s">
        <v>164</v>
      </c>
      <c r="G679" t="s">
        <v>165</v>
      </c>
      <c r="H679" t="s">
        <v>26</v>
      </c>
      <c r="I679" t="s">
        <v>27</v>
      </c>
      <c r="J679" t="s">
        <v>27</v>
      </c>
      <c r="K679" t="s">
        <v>568</v>
      </c>
      <c r="L679" s="2" t="s">
        <v>35</v>
      </c>
      <c r="M679" s="8" t="s">
        <v>36</v>
      </c>
      <c r="N679" s="7">
        <v>0.81</v>
      </c>
      <c r="O679" s="2">
        <v>1</v>
      </c>
      <c r="P679" s="7">
        <v>0.81</v>
      </c>
      <c r="Q679" s="7">
        <v>0</v>
      </c>
      <c r="R679" s="7">
        <v>0.13</v>
      </c>
      <c r="S679" s="7">
        <v>0.38</v>
      </c>
      <c r="T679" s="7">
        <v>0.94</v>
      </c>
      <c r="U679">
        <v>9</v>
      </c>
      <c r="V679">
        <v>9</v>
      </c>
    </row>
    <row r="680" spans="1:22">
      <c r="A680">
        <v>676</v>
      </c>
      <c r="B680" s="4">
        <v>46297.843692129631</v>
      </c>
      <c r="C680" s="5">
        <v>46297</v>
      </c>
      <c r="D680" s="6">
        <v>2.8436805555555558</v>
      </c>
      <c r="E680" s="5">
        <v>46297</v>
      </c>
      <c r="F680" t="s">
        <v>164</v>
      </c>
      <c r="G680" t="s">
        <v>165</v>
      </c>
      <c r="H680" t="s">
        <v>26</v>
      </c>
      <c r="I680" t="s">
        <v>27</v>
      </c>
      <c r="J680" t="s">
        <v>27</v>
      </c>
      <c r="K680" t="s">
        <v>569</v>
      </c>
      <c r="L680" s="2" t="s">
        <v>88</v>
      </c>
      <c r="M680" s="8" t="s">
        <v>89</v>
      </c>
      <c r="N680" s="7">
        <v>0.81</v>
      </c>
      <c r="O680" s="2">
        <v>1</v>
      </c>
      <c r="P680" s="7">
        <v>0.81</v>
      </c>
      <c r="Q680" s="7">
        <v>0</v>
      </c>
      <c r="R680" s="7">
        <v>0.13</v>
      </c>
      <c r="S680" s="7">
        <v>0.79</v>
      </c>
      <c r="T680" s="7">
        <v>0.94</v>
      </c>
      <c r="U680">
        <v>9</v>
      </c>
      <c r="V680">
        <v>9</v>
      </c>
    </row>
    <row r="681" spans="1:22">
      <c r="A681">
        <v>677</v>
      </c>
      <c r="B681" s="4">
        <v>46297.843692129631</v>
      </c>
      <c r="C681" s="5">
        <v>46297</v>
      </c>
      <c r="D681" s="6">
        <v>2.8437731481481481</v>
      </c>
      <c r="E681" s="5">
        <v>46297</v>
      </c>
      <c r="F681" t="s">
        <v>164</v>
      </c>
      <c r="G681" t="s">
        <v>165</v>
      </c>
      <c r="H681" t="s">
        <v>26</v>
      </c>
      <c r="I681" t="s">
        <v>27</v>
      </c>
      <c r="J681" t="s">
        <v>27</v>
      </c>
      <c r="K681" t="s">
        <v>569</v>
      </c>
      <c r="L681" s="2" t="s">
        <v>100</v>
      </c>
      <c r="M681" s="8" t="s">
        <v>101</v>
      </c>
      <c r="N681" s="7">
        <v>0.81</v>
      </c>
      <c r="O681" s="2">
        <v>1</v>
      </c>
      <c r="P681" s="7">
        <v>0.81</v>
      </c>
      <c r="Q681" s="7">
        <v>0</v>
      </c>
      <c r="R681" s="7">
        <v>0.13</v>
      </c>
      <c r="S681" s="7">
        <v>0.39</v>
      </c>
      <c r="T681" s="7">
        <v>0.94</v>
      </c>
      <c r="U681">
        <v>9</v>
      </c>
      <c r="V681">
        <v>9</v>
      </c>
    </row>
    <row r="682" spans="1:22">
      <c r="A682">
        <v>678</v>
      </c>
      <c r="B682" s="4">
        <v>46297.843692129631</v>
      </c>
      <c r="C682" s="5">
        <v>46297</v>
      </c>
      <c r="D682" s="6">
        <v>2.8489236111111111</v>
      </c>
      <c r="E682" s="5">
        <v>46297</v>
      </c>
      <c r="F682" t="s">
        <v>164</v>
      </c>
      <c r="G682" t="s">
        <v>165</v>
      </c>
      <c r="H682" t="s">
        <v>26</v>
      </c>
      <c r="I682" t="s">
        <v>27</v>
      </c>
      <c r="J682" t="s">
        <v>27</v>
      </c>
      <c r="K682" t="s">
        <v>569</v>
      </c>
      <c r="L682" s="2" t="s">
        <v>35</v>
      </c>
      <c r="M682" s="8" t="s">
        <v>36</v>
      </c>
      <c r="N682" s="7">
        <v>0.81</v>
      </c>
      <c r="O682" s="2">
        <v>1</v>
      </c>
      <c r="P682" s="7">
        <v>0.81</v>
      </c>
      <c r="Q682" s="7">
        <v>0</v>
      </c>
      <c r="R682" s="7">
        <v>0.13</v>
      </c>
      <c r="S682" s="7">
        <v>0.38</v>
      </c>
      <c r="T682" s="7">
        <v>0.94</v>
      </c>
      <c r="U682">
        <v>9</v>
      </c>
      <c r="V682">
        <v>9</v>
      </c>
    </row>
    <row r="683" spans="1:22">
      <c r="A683">
        <v>679</v>
      </c>
      <c r="B683" s="4">
        <v>46297.881898148145</v>
      </c>
      <c r="C683" s="5">
        <v>46297</v>
      </c>
      <c r="D683" s="6">
        <v>2.8818865740740742</v>
      </c>
      <c r="E683" s="5">
        <v>46297</v>
      </c>
      <c r="F683" t="s">
        <v>164</v>
      </c>
      <c r="G683" t="s">
        <v>165</v>
      </c>
      <c r="H683" t="s">
        <v>26</v>
      </c>
      <c r="I683" t="s">
        <v>27</v>
      </c>
      <c r="J683" t="s">
        <v>27</v>
      </c>
      <c r="K683" t="s">
        <v>570</v>
      </c>
      <c r="L683" s="2" t="s">
        <v>140</v>
      </c>
      <c r="M683" s="8" t="s">
        <v>141</v>
      </c>
      <c r="N683" s="7">
        <v>0.55000000000000004</v>
      </c>
      <c r="O683" s="2">
        <v>1</v>
      </c>
      <c r="P683" s="7">
        <v>0.55000000000000004</v>
      </c>
      <c r="Q683" s="7">
        <v>0</v>
      </c>
      <c r="R683" s="7">
        <v>0.08</v>
      </c>
      <c r="S683" s="7">
        <v>0.53</v>
      </c>
      <c r="T683" s="7">
        <v>0.63</v>
      </c>
      <c r="U683">
        <v>9</v>
      </c>
      <c r="V683">
        <v>9</v>
      </c>
    </row>
    <row r="684" spans="1:22">
      <c r="A684">
        <v>680</v>
      </c>
      <c r="B684" s="4">
        <v>46297.881898148145</v>
      </c>
      <c r="C684" s="5">
        <v>46297</v>
      </c>
      <c r="D684" s="6">
        <v>2.8819675925925927</v>
      </c>
      <c r="E684" s="5">
        <v>46297</v>
      </c>
      <c r="F684" t="s">
        <v>164</v>
      </c>
      <c r="G684" t="s">
        <v>165</v>
      </c>
      <c r="H684" t="s">
        <v>26</v>
      </c>
      <c r="I684" t="s">
        <v>27</v>
      </c>
      <c r="J684" t="s">
        <v>27</v>
      </c>
      <c r="K684" t="s">
        <v>570</v>
      </c>
      <c r="L684" s="2" t="s">
        <v>267</v>
      </c>
      <c r="M684" s="8" t="s">
        <v>268</v>
      </c>
      <c r="N684" s="7">
        <v>0.65</v>
      </c>
      <c r="O684" s="2">
        <v>1</v>
      </c>
      <c r="P684" s="7">
        <v>0.65</v>
      </c>
      <c r="Q684" s="7">
        <v>0</v>
      </c>
      <c r="R684" s="7">
        <v>0.1</v>
      </c>
      <c r="S684" s="7">
        <v>0.63</v>
      </c>
      <c r="T684" s="7">
        <v>0.75</v>
      </c>
      <c r="U684">
        <v>9</v>
      </c>
      <c r="V684">
        <v>9</v>
      </c>
    </row>
    <row r="685" spans="1:22">
      <c r="A685">
        <v>681</v>
      </c>
      <c r="B685" s="4">
        <v>46297.893553240741</v>
      </c>
      <c r="C685" s="5">
        <v>46297</v>
      </c>
      <c r="D685" s="6">
        <v>2.8935416666666667</v>
      </c>
      <c r="E685" s="5">
        <v>46297</v>
      </c>
      <c r="F685" t="s">
        <v>164</v>
      </c>
      <c r="G685" t="s">
        <v>165</v>
      </c>
      <c r="H685" t="s">
        <v>26</v>
      </c>
      <c r="I685" t="s">
        <v>27</v>
      </c>
      <c r="J685" t="s">
        <v>27</v>
      </c>
      <c r="K685" t="s">
        <v>571</v>
      </c>
      <c r="L685" s="2" t="s">
        <v>35</v>
      </c>
      <c r="M685" s="8" t="s">
        <v>36</v>
      </c>
      <c r="N685" s="7">
        <v>0.81</v>
      </c>
      <c r="O685" s="2">
        <v>1</v>
      </c>
      <c r="P685" s="7">
        <v>0.81</v>
      </c>
      <c r="Q685" s="7">
        <v>0</v>
      </c>
      <c r="R685" s="7">
        <v>0.13</v>
      </c>
      <c r="S685" s="7">
        <v>0.38</v>
      </c>
      <c r="T685" s="7">
        <v>0.94</v>
      </c>
      <c r="U685">
        <v>10</v>
      </c>
      <c r="V685">
        <v>10</v>
      </c>
    </row>
    <row r="686" spans="1:22">
      <c r="A686">
        <v>682</v>
      </c>
      <c r="B686" s="4">
        <v>46297.893553240741</v>
      </c>
      <c r="C686" s="5">
        <v>46297</v>
      </c>
      <c r="D686" s="6">
        <v>2.8936342592592594</v>
      </c>
      <c r="E686" s="5">
        <v>46297</v>
      </c>
      <c r="F686" t="s">
        <v>164</v>
      </c>
      <c r="G686" t="s">
        <v>165</v>
      </c>
      <c r="H686" t="s">
        <v>26</v>
      </c>
      <c r="I686" t="s">
        <v>27</v>
      </c>
      <c r="J686" t="s">
        <v>27</v>
      </c>
      <c r="K686" t="s">
        <v>571</v>
      </c>
      <c r="L686" s="2" t="s">
        <v>81</v>
      </c>
      <c r="M686" s="8" t="s">
        <v>82</v>
      </c>
      <c r="N686" s="7">
        <v>1.08</v>
      </c>
      <c r="O686" s="2">
        <v>1</v>
      </c>
      <c r="P686" s="7">
        <v>1.08</v>
      </c>
      <c r="Q686" s="7">
        <v>0</v>
      </c>
      <c r="R686" s="7">
        <v>0.17</v>
      </c>
      <c r="S686" s="7">
        <v>0.26</v>
      </c>
      <c r="T686" s="7">
        <v>1.25</v>
      </c>
      <c r="U686">
        <v>10</v>
      </c>
      <c r="V686">
        <v>10</v>
      </c>
    </row>
    <row r="687" spans="1:22">
      <c r="A687">
        <v>683</v>
      </c>
      <c r="B687" s="4">
        <v>46297.893553240741</v>
      </c>
      <c r="C687" s="5">
        <v>46297</v>
      </c>
      <c r="D687" s="6">
        <v>2.8938194444444445</v>
      </c>
      <c r="E687" s="5">
        <v>46297</v>
      </c>
      <c r="F687" t="s">
        <v>164</v>
      </c>
      <c r="G687" t="s">
        <v>165</v>
      </c>
      <c r="H687" t="s">
        <v>26</v>
      </c>
      <c r="I687" t="s">
        <v>27</v>
      </c>
      <c r="J687" t="s">
        <v>27</v>
      </c>
      <c r="K687" t="s">
        <v>571</v>
      </c>
      <c r="L687" s="2" t="s">
        <v>572</v>
      </c>
      <c r="M687" s="8" t="s">
        <v>573</v>
      </c>
      <c r="N687" s="7">
        <v>1.9</v>
      </c>
      <c r="O687" s="2">
        <v>2</v>
      </c>
      <c r="P687" s="7">
        <v>3.8</v>
      </c>
      <c r="Q687" s="7">
        <v>0</v>
      </c>
      <c r="R687" s="7">
        <v>0.59</v>
      </c>
      <c r="S687" s="7">
        <v>3.65</v>
      </c>
      <c r="T687" s="7">
        <v>4.3899999999999997</v>
      </c>
      <c r="U687">
        <v>10</v>
      </c>
      <c r="V687">
        <v>10</v>
      </c>
    </row>
    <row r="688" spans="1:22">
      <c r="A688">
        <v>684</v>
      </c>
      <c r="B688" s="4">
        <v>46297.89570601852</v>
      </c>
      <c r="C688" s="5">
        <v>46297</v>
      </c>
      <c r="D688" s="6">
        <v>2.8957060185185184</v>
      </c>
      <c r="E688" s="5">
        <v>46297</v>
      </c>
      <c r="F688" t="s">
        <v>164</v>
      </c>
      <c r="G688" t="s">
        <v>165</v>
      </c>
      <c r="H688" t="s">
        <v>26</v>
      </c>
      <c r="I688" t="s">
        <v>27</v>
      </c>
      <c r="J688" t="s">
        <v>27</v>
      </c>
      <c r="K688" t="s">
        <v>574</v>
      </c>
      <c r="L688" s="2" t="s">
        <v>105</v>
      </c>
      <c r="M688" s="8" t="s">
        <v>106</v>
      </c>
      <c r="N688" s="7">
        <v>0.38</v>
      </c>
      <c r="O688" s="2">
        <v>2</v>
      </c>
      <c r="P688" s="7">
        <v>0.76</v>
      </c>
      <c r="Q688" s="7">
        <v>0</v>
      </c>
      <c r="R688" s="7">
        <v>0.12</v>
      </c>
      <c r="S688" s="7">
        <v>0.75</v>
      </c>
      <c r="T688" s="7">
        <v>0.88</v>
      </c>
      <c r="U688">
        <v>10</v>
      </c>
      <c r="V688">
        <v>10</v>
      </c>
    </row>
    <row r="689" spans="1:22">
      <c r="A689">
        <v>685</v>
      </c>
      <c r="B689" s="4">
        <v>46297.89570601852</v>
      </c>
      <c r="C689" s="5">
        <v>46297</v>
      </c>
      <c r="D689" s="6">
        <v>2.8957870370370369</v>
      </c>
      <c r="E689" s="5">
        <v>46297</v>
      </c>
      <c r="F689" t="s">
        <v>164</v>
      </c>
      <c r="G689" t="s">
        <v>165</v>
      </c>
      <c r="H689" t="s">
        <v>26</v>
      </c>
      <c r="I689" t="s">
        <v>27</v>
      </c>
      <c r="J689" t="s">
        <v>27</v>
      </c>
      <c r="K689" t="s">
        <v>574</v>
      </c>
      <c r="L689" s="2" t="s">
        <v>76</v>
      </c>
      <c r="M689" s="8" t="s">
        <v>77</v>
      </c>
      <c r="N689" s="7">
        <v>0.65</v>
      </c>
      <c r="O689" s="2">
        <v>1</v>
      </c>
      <c r="P689" s="7">
        <v>0.65</v>
      </c>
      <c r="Q689" s="7">
        <v>0</v>
      </c>
      <c r="R689" s="7">
        <v>0.1</v>
      </c>
      <c r="S689" s="7">
        <v>0.63</v>
      </c>
      <c r="T689" s="7">
        <v>0.75</v>
      </c>
      <c r="U689">
        <v>10</v>
      </c>
      <c r="V689">
        <v>10</v>
      </c>
    </row>
    <row r="690" spans="1:22">
      <c r="A690">
        <v>686</v>
      </c>
      <c r="B690" s="4">
        <v>46297.89570601852</v>
      </c>
      <c r="C690" s="5">
        <v>46297</v>
      </c>
      <c r="D690" s="6">
        <v>2.9042939814814814</v>
      </c>
      <c r="E690" s="5">
        <v>46297</v>
      </c>
      <c r="F690" t="s">
        <v>164</v>
      </c>
      <c r="G690" t="s">
        <v>165</v>
      </c>
      <c r="H690" t="s">
        <v>26</v>
      </c>
      <c r="I690" t="s">
        <v>27</v>
      </c>
      <c r="J690" t="s">
        <v>27</v>
      </c>
      <c r="K690" t="s">
        <v>574</v>
      </c>
      <c r="L690" s="2" t="s">
        <v>484</v>
      </c>
      <c r="M690" s="8" t="s">
        <v>485</v>
      </c>
      <c r="N690" s="7">
        <v>0.55000000000000004</v>
      </c>
      <c r="O690" s="2">
        <v>1</v>
      </c>
      <c r="P690" s="7">
        <v>0.55000000000000004</v>
      </c>
      <c r="Q690" s="7">
        <v>0</v>
      </c>
      <c r="R690" s="7">
        <v>0.08</v>
      </c>
      <c r="S690" s="7">
        <v>0.28000000000000003</v>
      </c>
      <c r="T690" s="7">
        <v>0.63</v>
      </c>
      <c r="U690">
        <v>10</v>
      </c>
      <c r="V690">
        <v>10</v>
      </c>
    </row>
    <row r="691" spans="1:22">
      <c r="A691">
        <v>687</v>
      </c>
      <c r="B691" s="4">
        <v>46297.89570601852</v>
      </c>
      <c r="C691" s="5">
        <v>46297</v>
      </c>
      <c r="D691" s="6">
        <v>2.9044675925925927</v>
      </c>
      <c r="E691" s="5">
        <v>46297</v>
      </c>
      <c r="F691" t="s">
        <v>164</v>
      </c>
      <c r="G691" t="s">
        <v>165</v>
      </c>
      <c r="H691" t="s">
        <v>26</v>
      </c>
      <c r="I691" t="s">
        <v>27</v>
      </c>
      <c r="J691" t="s">
        <v>27</v>
      </c>
      <c r="K691" t="s">
        <v>574</v>
      </c>
      <c r="L691" s="2" t="s">
        <v>143</v>
      </c>
      <c r="M691" s="8" t="s">
        <v>144</v>
      </c>
      <c r="N691" s="7">
        <v>1.25</v>
      </c>
      <c r="O691" s="2">
        <v>1</v>
      </c>
      <c r="P691" s="7">
        <v>1.25</v>
      </c>
      <c r="Q691" s="7">
        <v>0</v>
      </c>
      <c r="R691" s="7">
        <v>0</v>
      </c>
      <c r="S691" s="7">
        <v>1.21</v>
      </c>
      <c r="T691" s="7">
        <v>1.25</v>
      </c>
      <c r="U691">
        <v>10</v>
      </c>
      <c r="V691">
        <v>10</v>
      </c>
    </row>
    <row r="692" spans="1:22">
      <c r="A692">
        <v>688</v>
      </c>
      <c r="B692" s="4">
        <v>46297.90552083333</v>
      </c>
      <c r="C692" s="5">
        <v>46297</v>
      </c>
      <c r="D692" s="6">
        <v>2.9055208333333336</v>
      </c>
      <c r="E692" s="5">
        <v>46297</v>
      </c>
      <c r="F692" t="s">
        <v>164</v>
      </c>
      <c r="G692" t="s">
        <v>165</v>
      </c>
      <c r="H692" t="s">
        <v>26</v>
      </c>
      <c r="I692" t="s">
        <v>27</v>
      </c>
      <c r="J692" t="s">
        <v>27</v>
      </c>
      <c r="K692" t="s">
        <v>575</v>
      </c>
      <c r="L692" s="2" t="s">
        <v>445</v>
      </c>
      <c r="M692" s="8" t="s">
        <v>446</v>
      </c>
      <c r="N692" s="7">
        <v>1.9</v>
      </c>
      <c r="O692" s="2">
        <v>1</v>
      </c>
      <c r="P692" s="7">
        <v>1.9</v>
      </c>
      <c r="Q692" s="7">
        <v>0</v>
      </c>
      <c r="R692" s="7">
        <v>0.28999999999999998</v>
      </c>
      <c r="S692" s="7">
        <v>0.5</v>
      </c>
      <c r="T692" s="7">
        <v>2.19</v>
      </c>
      <c r="U692">
        <v>10</v>
      </c>
      <c r="V692">
        <v>10</v>
      </c>
    </row>
    <row r="693" spans="1:22">
      <c r="A693">
        <v>689</v>
      </c>
      <c r="B693" s="4">
        <v>46297.90552083333</v>
      </c>
      <c r="C693" s="5">
        <v>46297</v>
      </c>
      <c r="D693" s="6">
        <v>2.9062152777777777</v>
      </c>
      <c r="E693" s="5">
        <v>46297</v>
      </c>
      <c r="F693" t="s">
        <v>164</v>
      </c>
      <c r="G693" t="s">
        <v>165</v>
      </c>
      <c r="H693" t="s">
        <v>26</v>
      </c>
      <c r="I693" t="s">
        <v>27</v>
      </c>
      <c r="J693" t="s">
        <v>27</v>
      </c>
      <c r="K693" t="s">
        <v>575</v>
      </c>
      <c r="L693" s="2" t="s">
        <v>445</v>
      </c>
      <c r="M693" s="8" t="s">
        <v>446</v>
      </c>
      <c r="N693" s="7">
        <v>1.9</v>
      </c>
      <c r="O693" s="2">
        <v>2</v>
      </c>
      <c r="P693" s="7">
        <v>3.8</v>
      </c>
      <c r="Q693" s="7">
        <v>0</v>
      </c>
      <c r="R693" s="7">
        <v>0.59</v>
      </c>
      <c r="S693" s="7">
        <v>1.01</v>
      </c>
      <c r="T693" s="7">
        <v>4.3899999999999997</v>
      </c>
      <c r="U693">
        <v>10</v>
      </c>
      <c r="V693">
        <v>10</v>
      </c>
    </row>
    <row r="694" spans="1:22">
      <c r="A694">
        <v>690</v>
      </c>
      <c r="B694" s="4">
        <v>46297.90552083333</v>
      </c>
      <c r="C694" s="5">
        <v>46297</v>
      </c>
      <c r="D694" s="6">
        <v>2.9063541666666666</v>
      </c>
      <c r="E694" s="5">
        <v>46297</v>
      </c>
      <c r="F694" t="s">
        <v>164</v>
      </c>
      <c r="G694" t="s">
        <v>165</v>
      </c>
      <c r="H694" t="s">
        <v>26</v>
      </c>
      <c r="I694" t="s">
        <v>27</v>
      </c>
      <c r="J694" t="s">
        <v>27</v>
      </c>
      <c r="K694" t="s">
        <v>575</v>
      </c>
      <c r="L694" s="2" t="s">
        <v>576</v>
      </c>
      <c r="M694" s="8" t="s">
        <v>577</v>
      </c>
      <c r="N694" s="7">
        <v>0.81</v>
      </c>
      <c r="O694" s="2">
        <v>1</v>
      </c>
      <c r="P694" s="7">
        <v>0.81</v>
      </c>
      <c r="Q694" s="7">
        <v>0</v>
      </c>
      <c r="R694" s="7">
        <v>0.13</v>
      </c>
      <c r="S694" s="7">
        <v>0.37</v>
      </c>
      <c r="T694" s="7">
        <v>0.94</v>
      </c>
      <c r="U694">
        <v>10</v>
      </c>
      <c r="V694">
        <v>10</v>
      </c>
    </row>
    <row r="695" spans="1:22">
      <c r="A695">
        <v>691</v>
      </c>
      <c r="B695" s="4">
        <v>46297.910960648151</v>
      </c>
      <c r="C695" s="5">
        <v>46297</v>
      </c>
      <c r="D695" s="6">
        <v>2.9109606481481483</v>
      </c>
      <c r="E695" s="5">
        <v>46297</v>
      </c>
      <c r="F695" t="s">
        <v>164</v>
      </c>
      <c r="G695" t="s">
        <v>165</v>
      </c>
      <c r="H695" t="s">
        <v>26</v>
      </c>
      <c r="I695" t="s">
        <v>27</v>
      </c>
      <c r="J695" t="s">
        <v>27</v>
      </c>
      <c r="K695" t="s">
        <v>578</v>
      </c>
      <c r="L695" s="2" t="s">
        <v>561</v>
      </c>
      <c r="M695" s="8" t="s">
        <v>562</v>
      </c>
      <c r="N695" s="7">
        <v>1.9</v>
      </c>
      <c r="O695" s="2">
        <v>1</v>
      </c>
      <c r="P695" s="7">
        <v>1.9</v>
      </c>
      <c r="Q695" s="7">
        <v>0</v>
      </c>
      <c r="R695" s="7">
        <v>0.28999999999999998</v>
      </c>
      <c r="S695" s="7">
        <v>0.5</v>
      </c>
      <c r="T695" s="7">
        <v>2.19</v>
      </c>
      <c r="U695">
        <v>10</v>
      </c>
      <c r="V695">
        <v>10</v>
      </c>
    </row>
    <row r="696" spans="1:22">
      <c r="A696">
        <v>692</v>
      </c>
      <c r="B696" s="4">
        <v>46297.910960648151</v>
      </c>
      <c r="C696" s="5">
        <v>46297</v>
      </c>
      <c r="D696" s="6">
        <v>2.9118518518518517</v>
      </c>
      <c r="E696" s="5">
        <v>46297</v>
      </c>
      <c r="F696" t="s">
        <v>164</v>
      </c>
      <c r="G696" t="s">
        <v>165</v>
      </c>
      <c r="H696" t="s">
        <v>26</v>
      </c>
      <c r="I696" t="s">
        <v>27</v>
      </c>
      <c r="J696" t="s">
        <v>27</v>
      </c>
      <c r="K696" t="s">
        <v>578</v>
      </c>
      <c r="L696" s="2" t="s">
        <v>572</v>
      </c>
      <c r="M696" s="8" t="s">
        <v>573</v>
      </c>
      <c r="N696" s="7">
        <v>1.9</v>
      </c>
      <c r="O696" s="2">
        <v>1</v>
      </c>
      <c r="P696" s="7">
        <v>1.9</v>
      </c>
      <c r="Q696" s="7">
        <v>0</v>
      </c>
      <c r="R696" s="7">
        <v>0.28999999999999998</v>
      </c>
      <c r="S696" s="7">
        <v>1.82</v>
      </c>
      <c r="T696" s="7">
        <v>2.19</v>
      </c>
      <c r="U696">
        <v>10</v>
      </c>
      <c r="V696">
        <v>10</v>
      </c>
    </row>
    <row r="697" spans="1:22">
      <c r="A697">
        <v>693</v>
      </c>
      <c r="B697" s="4">
        <v>46297.910960648151</v>
      </c>
      <c r="C697" s="5">
        <v>46297</v>
      </c>
      <c r="D697" s="6">
        <v>2.9316666666666666</v>
      </c>
      <c r="E697" s="5">
        <v>46297</v>
      </c>
      <c r="F697" t="s">
        <v>164</v>
      </c>
      <c r="G697" t="s">
        <v>165</v>
      </c>
      <c r="H697" t="s">
        <v>26</v>
      </c>
      <c r="I697" t="s">
        <v>27</v>
      </c>
      <c r="J697" t="s">
        <v>27</v>
      </c>
      <c r="K697" t="s">
        <v>578</v>
      </c>
      <c r="L697" s="2" t="s">
        <v>579</v>
      </c>
      <c r="M697" s="8" t="s">
        <v>580</v>
      </c>
      <c r="N697" s="7">
        <v>0.94</v>
      </c>
      <c r="O697" s="2">
        <v>2</v>
      </c>
      <c r="P697" s="7">
        <v>1.88</v>
      </c>
      <c r="Q697" s="7">
        <v>0</v>
      </c>
      <c r="R697" s="7">
        <v>0</v>
      </c>
      <c r="S697" s="7">
        <v>0.84</v>
      </c>
      <c r="T697" s="7">
        <v>1.88</v>
      </c>
      <c r="U697">
        <v>10</v>
      </c>
      <c r="V697">
        <v>10</v>
      </c>
    </row>
    <row r="698" spans="1:22">
      <c r="A698">
        <v>694</v>
      </c>
      <c r="B698" s="4">
        <v>46297.938784722224</v>
      </c>
      <c r="C698" s="5">
        <v>46297</v>
      </c>
      <c r="D698" s="6">
        <v>2.9387847222222221</v>
      </c>
      <c r="E698" s="5">
        <v>46297</v>
      </c>
      <c r="F698" t="s">
        <v>164</v>
      </c>
      <c r="G698" t="s">
        <v>165</v>
      </c>
      <c r="H698" t="s">
        <v>26</v>
      </c>
      <c r="I698" t="s">
        <v>27</v>
      </c>
      <c r="J698" t="s">
        <v>27</v>
      </c>
      <c r="K698" t="s">
        <v>581</v>
      </c>
      <c r="L698" s="2" t="s">
        <v>224</v>
      </c>
      <c r="M698" s="8" t="s">
        <v>225</v>
      </c>
      <c r="N698" s="7">
        <v>0.81</v>
      </c>
      <c r="O698" s="2">
        <v>1</v>
      </c>
      <c r="P698" s="7">
        <v>0.81</v>
      </c>
      <c r="Q698" s="7">
        <v>0</v>
      </c>
      <c r="R698" s="7">
        <v>0.13</v>
      </c>
      <c r="S698" s="7">
        <v>0.79</v>
      </c>
      <c r="T698" s="7">
        <v>0.94</v>
      </c>
      <c r="U698">
        <v>10</v>
      </c>
      <c r="V698">
        <v>10</v>
      </c>
    </row>
    <row r="699" spans="1:22">
      <c r="A699">
        <v>695</v>
      </c>
      <c r="B699" s="4">
        <v>46297.938784722224</v>
      </c>
      <c r="C699" s="5">
        <v>46297</v>
      </c>
      <c r="D699" s="6">
        <v>2.9389120370370372</v>
      </c>
      <c r="E699" s="5">
        <v>46297</v>
      </c>
      <c r="F699" t="s">
        <v>164</v>
      </c>
      <c r="G699" t="s">
        <v>165</v>
      </c>
      <c r="H699" t="s">
        <v>26</v>
      </c>
      <c r="I699" t="s">
        <v>27</v>
      </c>
      <c r="J699" t="s">
        <v>27</v>
      </c>
      <c r="K699" t="s">
        <v>581</v>
      </c>
      <c r="L699" s="2" t="s">
        <v>229</v>
      </c>
      <c r="M699" s="8" t="s">
        <v>230</v>
      </c>
      <c r="N699" s="7">
        <v>0.81</v>
      </c>
      <c r="O699" s="2">
        <v>1</v>
      </c>
      <c r="P699" s="7">
        <v>0.81</v>
      </c>
      <c r="Q699" s="7">
        <v>0</v>
      </c>
      <c r="R699" s="7">
        <v>0.13</v>
      </c>
      <c r="S699" s="7">
        <v>0.79</v>
      </c>
      <c r="T699" s="7">
        <v>0.94</v>
      </c>
      <c r="U699">
        <v>10</v>
      </c>
      <c r="V699">
        <v>10</v>
      </c>
    </row>
    <row r="700" spans="1:22">
      <c r="A700">
        <v>696</v>
      </c>
      <c r="B700" s="4">
        <v>46297.938784722224</v>
      </c>
      <c r="C700" s="5">
        <v>46297</v>
      </c>
      <c r="D700" s="6">
        <v>2.9396412037037036</v>
      </c>
      <c r="E700" s="5">
        <v>46297</v>
      </c>
      <c r="F700" t="s">
        <v>164</v>
      </c>
      <c r="G700" t="s">
        <v>165</v>
      </c>
      <c r="H700" t="s">
        <v>26</v>
      </c>
      <c r="I700" t="s">
        <v>27</v>
      </c>
      <c r="J700" t="s">
        <v>27</v>
      </c>
      <c r="K700" t="s">
        <v>581</v>
      </c>
      <c r="L700" s="2" t="s">
        <v>409</v>
      </c>
      <c r="M700" s="8" t="s">
        <v>410</v>
      </c>
      <c r="N700" s="7">
        <v>1.63</v>
      </c>
      <c r="O700" s="2">
        <v>1</v>
      </c>
      <c r="P700" s="7">
        <v>1.63</v>
      </c>
      <c r="Q700" s="7">
        <v>0</v>
      </c>
      <c r="R700" s="7">
        <v>0.25</v>
      </c>
      <c r="S700" s="7">
        <v>0.73</v>
      </c>
      <c r="T700" s="7">
        <v>1.88</v>
      </c>
      <c r="U700">
        <v>10</v>
      </c>
      <c r="V700">
        <v>10</v>
      </c>
    </row>
    <row r="701" spans="1:22">
      <c r="A701">
        <v>697</v>
      </c>
      <c r="B701" s="4">
        <v>46297.938784722224</v>
      </c>
      <c r="C701" s="5">
        <v>46297</v>
      </c>
      <c r="D701" s="6">
        <v>2.9397222222222221</v>
      </c>
      <c r="E701" s="5">
        <v>46297</v>
      </c>
      <c r="F701" t="s">
        <v>164</v>
      </c>
      <c r="G701" t="s">
        <v>165</v>
      </c>
      <c r="H701" t="s">
        <v>26</v>
      </c>
      <c r="I701" t="s">
        <v>27</v>
      </c>
      <c r="J701" t="s">
        <v>27</v>
      </c>
      <c r="K701" t="s">
        <v>581</v>
      </c>
      <c r="L701" s="2" t="s">
        <v>35</v>
      </c>
      <c r="M701" s="8" t="s">
        <v>36</v>
      </c>
      <c r="N701" s="7">
        <v>0.81</v>
      </c>
      <c r="O701" s="2">
        <v>2</v>
      </c>
      <c r="P701" s="7">
        <v>1.62</v>
      </c>
      <c r="Q701" s="7">
        <v>0</v>
      </c>
      <c r="R701" s="7">
        <v>0.25</v>
      </c>
      <c r="S701" s="7">
        <v>0.75</v>
      </c>
      <c r="T701" s="7">
        <v>1.87</v>
      </c>
      <c r="U701">
        <v>10</v>
      </c>
      <c r="V701">
        <v>10</v>
      </c>
    </row>
    <row r="702" spans="1:22">
      <c r="A702">
        <v>698</v>
      </c>
      <c r="B702" s="4">
        <v>46297.942662037036</v>
      </c>
      <c r="C702" s="5">
        <v>46297</v>
      </c>
      <c r="D702" s="6">
        <v>2.9426620370370369</v>
      </c>
      <c r="E702" s="5">
        <v>46297</v>
      </c>
      <c r="F702" t="s">
        <v>164</v>
      </c>
      <c r="G702" t="s">
        <v>165</v>
      </c>
      <c r="H702" t="s">
        <v>26</v>
      </c>
      <c r="I702" t="s">
        <v>27</v>
      </c>
      <c r="J702" t="s">
        <v>27</v>
      </c>
      <c r="K702" t="s">
        <v>582</v>
      </c>
      <c r="L702" s="2" t="s">
        <v>35</v>
      </c>
      <c r="M702" s="8" t="s">
        <v>36</v>
      </c>
      <c r="N702" s="7">
        <v>0.81</v>
      </c>
      <c r="O702" s="2">
        <v>4</v>
      </c>
      <c r="P702" s="7">
        <v>3.24</v>
      </c>
      <c r="Q702" s="7">
        <v>0</v>
      </c>
      <c r="R702" s="7">
        <v>0.5</v>
      </c>
      <c r="S702" s="7">
        <v>1.51</v>
      </c>
      <c r="T702" s="7">
        <v>3.74</v>
      </c>
      <c r="U702">
        <v>10</v>
      </c>
      <c r="V702">
        <v>10</v>
      </c>
    </row>
    <row r="703" spans="1:22">
      <c r="A703">
        <v>699</v>
      </c>
      <c r="B703" s="4">
        <v>46297.942662037036</v>
      </c>
      <c r="C703" s="5">
        <v>46297</v>
      </c>
      <c r="D703" s="6">
        <v>2.9427777777777777</v>
      </c>
      <c r="E703" s="5">
        <v>46297</v>
      </c>
      <c r="F703" t="s">
        <v>164</v>
      </c>
      <c r="G703" t="s">
        <v>165</v>
      </c>
      <c r="H703" t="s">
        <v>26</v>
      </c>
      <c r="I703" t="s">
        <v>27</v>
      </c>
      <c r="J703" t="s">
        <v>27</v>
      </c>
      <c r="K703" t="s">
        <v>582</v>
      </c>
      <c r="L703" s="2" t="s">
        <v>81</v>
      </c>
      <c r="M703" s="8" t="s">
        <v>82</v>
      </c>
      <c r="N703" s="7">
        <v>1.08</v>
      </c>
      <c r="O703" s="2">
        <v>2</v>
      </c>
      <c r="P703" s="7">
        <v>2.16</v>
      </c>
      <c r="Q703" s="7">
        <v>0</v>
      </c>
      <c r="R703" s="7">
        <v>0.34</v>
      </c>
      <c r="S703" s="7">
        <v>0.51</v>
      </c>
      <c r="T703" s="7">
        <v>2.5</v>
      </c>
      <c r="U703">
        <v>10</v>
      </c>
      <c r="V703">
        <v>10</v>
      </c>
    </row>
    <row r="704" spans="1:22">
      <c r="A704">
        <v>700</v>
      </c>
      <c r="B704" s="4">
        <v>46297.942662037036</v>
      </c>
      <c r="C704" s="5">
        <v>46297</v>
      </c>
      <c r="D704" s="6">
        <v>2.9430092592592594</v>
      </c>
      <c r="E704" s="5">
        <v>46297</v>
      </c>
      <c r="F704" t="s">
        <v>164</v>
      </c>
      <c r="G704" t="s">
        <v>165</v>
      </c>
      <c r="H704" t="s">
        <v>26</v>
      </c>
      <c r="I704" t="s">
        <v>27</v>
      </c>
      <c r="J704" t="s">
        <v>27</v>
      </c>
      <c r="K704" t="s">
        <v>582</v>
      </c>
      <c r="L704" s="2" t="s">
        <v>422</v>
      </c>
      <c r="M704" s="8" t="s">
        <v>423</v>
      </c>
      <c r="N704" s="7">
        <v>0.65</v>
      </c>
      <c r="O704" s="2">
        <v>3</v>
      </c>
      <c r="P704" s="7">
        <v>1.95</v>
      </c>
      <c r="Q704" s="7">
        <v>0</v>
      </c>
      <c r="R704" s="7">
        <v>0.3</v>
      </c>
      <c r="S704" s="7">
        <v>1.84</v>
      </c>
      <c r="T704" s="7">
        <v>2.25</v>
      </c>
      <c r="U704">
        <v>10</v>
      </c>
      <c r="V704">
        <v>10</v>
      </c>
    </row>
    <row r="705" spans="1:22">
      <c r="A705">
        <v>701</v>
      </c>
      <c r="B705" s="4">
        <v>46297.942662037036</v>
      </c>
      <c r="C705" s="5">
        <v>46297</v>
      </c>
      <c r="D705" s="6">
        <v>2.9431597222222221</v>
      </c>
      <c r="E705" s="5">
        <v>46297</v>
      </c>
      <c r="F705" t="s">
        <v>164</v>
      </c>
      <c r="G705" t="s">
        <v>165</v>
      </c>
      <c r="H705" t="s">
        <v>26</v>
      </c>
      <c r="I705" t="s">
        <v>27</v>
      </c>
      <c r="J705" t="s">
        <v>27</v>
      </c>
      <c r="K705" t="s">
        <v>582</v>
      </c>
      <c r="L705" s="2" t="s">
        <v>489</v>
      </c>
      <c r="M705" s="8" t="s">
        <v>490</v>
      </c>
      <c r="N705" s="7">
        <v>1.56</v>
      </c>
      <c r="O705" s="2">
        <v>1</v>
      </c>
      <c r="P705" s="7">
        <v>1.56</v>
      </c>
      <c r="Q705" s="7">
        <v>0</v>
      </c>
      <c r="R705" s="7">
        <v>0</v>
      </c>
      <c r="S705" s="7">
        <v>0.42</v>
      </c>
      <c r="T705" s="7">
        <v>1.56</v>
      </c>
      <c r="U705">
        <v>10</v>
      </c>
      <c r="V705">
        <v>10</v>
      </c>
    </row>
    <row r="706" spans="1:22">
      <c r="A706">
        <v>702</v>
      </c>
      <c r="B706" s="4">
        <v>46297.947488425925</v>
      </c>
      <c r="C706" s="5">
        <v>46297</v>
      </c>
      <c r="D706" s="6">
        <v>2.9474768518518517</v>
      </c>
      <c r="E706" s="5">
        <v>46297</v>
      </c>
      <c r="F706" t="s">
        <v>164</v>
      </c>
      <c r="G706" t="s">
        <v>165</v>
      </c>
      <c r="H706" t="s">
        <v>26</v>
      </c>
      <c r="I706" t="s">
        <v>27</v>
      </c>
      <c r="J706" t="s">
        <v>27</v>
      </c>
      <c r="K706" t="s">
        <v>583</v>
      </c>
      <c r="L706" s="2" t="s">
        <v>516</v>
      </c>
      <c r="M706" s="8" t="s">
        <v>517</v>
      </c>
      <c r="N706" s="7">
        <v>0.81</v>
      </c>
      <c r="O706" s="2">
        <v>1</v>
      </c>
      <c r="P706" s="7">
        <v>0.81</v>
      </c>
      <c r="Q706" s="7">
        <v>0</v>
      </c>
      <c r="R706" s="7">
        <v>0.13</v>
      </c>
      <c r="S706" s="7">
        <v>0.79</v>
      </c>
      <c r="T706" s="7">
        <v>0.94</v>
      </c>
      <c r="U706">
        <v>10</v>
      </c>
      <c r="V706">
        <v>10</v>
      </c>
    </row>
    <row r="707" spans="1:22">
      <c r="A707">
        <v>703</v>
      </c>
      <c r="B707" s="4">
        <v>46297.949791666666</v>
      </c>
      <c r="C707" s="5">
        <v>46297</v>
      </c>
      <c r="D707" s="6">
        <v>2.9497800925925928</v>
      </c>
      <c r="E707" s="5">
        <v>46297</v>
      </c>
      <c r="F707" t="s">
        <v>164</v>
      </c>
      <c r="G707" t="s">
        <v>165</v>
      </c>
      <c r="H707" t="s">
        <v>26</v>
      </c>
      <c r="I707" t="s">
        <v>27</v>
      </c>
      <c r="J707" t="s">
        <v>27</v>
      </c>
      <c r="K707" t="s">
        <v>584</v>
      </c>
      <c r="L707" s="2" t="s">
        <v>250</v>
      </c>
      <c r="M707" s="8" t="s">
        <v>251</v>
      </c>
      <c r="N707" s="7">
        <v>1.35</v>
      </c>
      <c r="O707" s="2">
        <v>1</v>
      </c>
      <c r="P707" s="7">
        <v>1.35</v>
      </c>
      <c r="Q707" s="7">
        <v>0</v>
      </c>
      <c r="R707" s="7">
        <v>0.21</v>
      </c>
      <c r="S707" s="7">
        <v>1.3</v>
      </c>
      <c r="T707" s="7">
        <v>1.56</v>
      </c>
      <c r="U707">
        <v>10</v>
      </c>
      <c r="V707">
        <v>10</v>
      </c>
    </row>
    <row r="708" spans="1:22">
      <c r="A708">
        <v>704</v>
      </c>
      <c r="B708" s="4">
        <v>46297.951562499999</v>
      </c>
      <c r="C708" s="5">
        <v>46297</v>
      </c>
      <c r="D708" s="6">
        <v>2.9515509259259258</v>
      </c>
      <c r="E708" s="5">
        <v>46297</v>
      </c>
      <c r="F708" t="s">
        <v>164</v>
      </c>
      <c r="G708" t="s">
        <v>165</v>
      </c>
      <c r="H708" t="s">
        <v>26</v>
      </c>
      <c r="I708" t="s">
        <v>27</v>
      </c>
      <c r="J708" t="s">
        <v>27</v>
      </c>
      <c r="K708" t="s">
        <v>585</v>
      </c>
      <c r="L708" s="2" t="s">
        <v>143</v>
      </c>
      <c r="M708" s="8" t="s">
        <v>144</v>
      </c>
      <c r="N708" s="7">
        <v>1.25</v>
      </c>
      <c r="O708" s="2">
        <v>1</v>
      </c>
      <c r="P708" s="7">
        <v>1.25</v>
      </c>
      <c r="Q708" s="7">
        <v>0</v>
      </c>
      <c r="R708" s="7">
        <v>0</v>
      </c>
      <c r="S708" s="7">
        <v>1.21</v>
      </c>
      <c r="T708" s="7">
        <v>1.25</v>
      </c>
      <c r="U708">
        <v>10</v>
      </c>
      <c r="V708">
        <v>10</v>
      </c>
    </row>
    <row r="709" spans="1:22">
      <c r="A709">
        <v>705</v>
      </c>
      <c r="B709" s="4">
        <v>46297.953043981484</v>
      </c>
      <c r="C709" s="5">
        <v>46297</v>
      </c>
      <c r="D709" s="6">
        <v>2.9530439814814815</v>
      </c>
      <c r="E709" s="5">
        <v>46297</v>
      </c>
      <c r="F709" t="s">
        <v>164</v>
      </c>
      <c r="G709" t="s">
        <v>165</v>
      </c>
      <c r="H709" t="s">
        <v>26</v>
      </c>
      <c r="I709" t="s">
        <v>27</v>
      </c>
      <c r="J709" t="s">
        <v>27</v>
      </c>
      <c r="K709" t="s">
        <v>586</v>
      </c>
      <c r="L709" s="2" t="s">
        <v>587</v>
      </c>
      <c r="M709" s="8" t="s">
        <v>588</v>
      </c>
      <c r="N709" s="7">
        <v>0.81</v>
      </c>
      <c r="O709" s="2">
        <v>1</v>
      </c>
      <c r="P709" s="7">
        <v>0.81</v>
      </c>
      <c r="Q709" s="7">
        <v>0</v>
      </c>
      <c r="R709" s="7">
        <v>0.13</v>
      </c>
      <c r="S709" s="7">
        <v>0.54</v>
      </c>
      <c r="T709" s="7">
        <v>0.94</v>
      </c>
      <c r="U709">
        <v>10</v>
      </c>
      <c r="V709">
        <v>10</v>
      </c>
    </row>
    <row r="710" spans="1:22">
      <c r="A710">
        <v>706</v>
      </c>
      <c r="B710" s="4">
        <v>46297.953043981484</v>
      </c>
      <c r="C710" s="5">
        <v>46297</v>
      </c>
      <c r="D710" s="6">
        <v>2.9530787037037038</v>
      </c>
      <c r="E710" s="5">
        <v>46297</v>
      </c>
      <c r="F710" t="s">
        <v>164</v>
      </c>
      <c r="G710" t="s">
        <v>165</v>
      </c>
      <c r="H710" t="s">
        <v>26</v>
      </c>
      <c r="I710" t="s">
        <v>27</v>
      </c>
      <c r="J710" t="s">
        <v>27</v>
      </c>
      <c r="K710" t="s">
        <v>586</v>
      </c>
      <c r="L710" s="2" t="s">
        <v>587</v>
      </c>
      <c r="M710" s="8" t="s">
        <v>588</v>
      </c>
      <c r="N710" s="7">
        <v>0.81</v>
      </c>
      <c r="O710" s="2">
        <v>1</v>
      </c>
      <c r="P710" s="7">
        <v>0.81</v>
      </c>
      <c r="Q710" s="7">
        <v>0</v>
      </c>
      <c r="R710" s="7">
        <v>0.13</v>
      </c>
      <c r="S710" s="7">
        <v>0.54</v>
      </c>
      <c r="T710" s="7">
        <v>0.94</v>
      </c>
      <c r="U710">
        <v>10</v>
      </c>
      <c r="V710">
        <v>10</v>
      </c>
    </row>
    <row r="711" spans="1:22">
      <c r="A711">
        <v>707</v>
      </c>
      <c r="B711" s="4">
        <v>46297.953043981484</v>
      </c>
      <c r="C711" s="5">
        <v>46297</v>
      </c>
      <c r="D711" s="6">
        <v>2.9537499999999999</v>
      </c>
      <c r="E711" s="5">
        <v>46297</v>
      </c>
      <c r="F711" t="s">
        <v>164</v>
      </c>
      <c r="G711" t="s">
        <v>165</v>
      </c>
      <c r="H711" t="s">
        <v>26</v>
      </c>
      <c r="I711" t="s">
        <v>27</v>
      </c>
      <c r="J711" t="s">
        <v>27</v>
      </c>
      <c r="K711" t="s">
        <v>586</v>
      </c>
      <c r="L711" s="3" t="s">
        <v>231</v>
      </c>
      <c r="M711" s="8" t="s">
        <v>232</v>
      </c>
      <c r="N711" s="7">
        <v>0.55000000000000004</v>
      </c>
      <c r="O711" s="2">
        <v>1</v>
      </c>
      <c r="P711" s="7">
        <v>0.55000000000000004</v>
      </c>
      <c r="Q711" s="7">
        <v>0</v>
      </c>
      <c r="R711" s="7">
        <v>0.08</v>
      </c>
      <c r="S711" s="7">
        <v>0.54</v>
      </c>
      <c r="T711" s="7">
        <v>0.63</v>
      </c>
      <c r="U711">
        <v>10</v>
      </c>
      <c r="V711">
        <v>10</v>
      </c>
    </row>
    <row r="712" spans="1:22">
      <c r="A712">
        <v>708</v>
      </c>
      <c r="B712" s="4">
        <v>46297.955555555556</v>
      </c>
      <c r="C712" s="5">
        <v>46297</v>
      </c>
      <c r="D712" s="6">
        <v>2.9555555555555557</v>
      </c>
      <c r="E712" s="5">
        <v>46297</v>
      </c>
      <c r="F712" t="s">
        <v>164</v>
      </c>
      <c r="G712" t="s">
        <v>165</v>
      </c>
      <c r="H712" t="s">
        <v>26</v>
      </c>
      <c r="I712" t="s">
        <v>27</v>
      </c>
      <c r="J712" t="s">
        <v>27</v>
      </c>
      <c r="K712" t="s">
        <v>589</v>
      </c>
      <c r="L712" s="2" t="s">
        <v>160</v>
      </c>
      <c r="M712" s="8" t="s">
        <v>161</v>
      </c>
      <c r="N712" s="7">
        <v>2.16</v>
      </c>
      <c r="O712" s="2">
        <v>1</v>
      </c>
      <c r="P712" s="7">
        <v>2.16</v>
      </c>
      <c r="Q712" s="7">
        <v>0</v>
      </c>
      <c r="R712" s="7">
        <v>0.34</v>
      </c>
      <c r="S712" s="7">
        <v>2.08</v>
      </c>
      <c r="T712" s="7">
        <v>2.5</v>
      </c>
      <c r="U712">
        <v>10</v>
      </c>
      <c r="V712">
        <v>10</v>
      </c>
    </row>
    <row r="713" spans="1:22">
      <c r="A713">
        <v>709</v>
      </c>
      <c r="B713" s="4">
        <v>46297.957118055558</v>
      </c>
      <c r="C713" s="5">
        <v>46297</v>
      </c>
      <c r="D713" s="6">
        <v>2.9571180555555556</v>
      </c>
      <c r="E713" s="5">
        <v>46297</v>
      </c>
      <c r="F713" t="s">
        <v>164</v>
      </c>
      <c r="G713" t="s">
        <v>165</v>
      </c>
      <c r="H713" t="s">
        <v>26</v>
      </c>
      <c r="I713" t="s">
        <v>27</v>
      </c>
      <c r="J713" t="s">
        <v>27</v>
      </c>
      <c r="K713" t="s">
        <v>590</v>
      </c>
      <c r="L713" s="2" t="s">
        <v>100</v>
      </c>
      <c r="M713" s="8" t="s">
        <v>101</v>
      </c>
      <c r="N713" s="7">
        <v>0.81</v>
      </c>
      <c r="O713" s="2">
        <v>1</v>
      </c>
      <c r="P713" s="7">
        <v>0.81</v>
      </c>
      <c r="Q713" s="7">
        <v>0</v>
      </c>
      <c r="R713" s="7">
        <v>0.13</v>
      </c>
      <c r="S713" s="7">
        <v>0.39</v>
      </c>
      <c r="T713" s="7">
        <v>0.94</v>
      </c>
      <c r="U713">
        <v>10</v>
      </c>
      <c r="V713">
        <v>10</v>
      </c>
    </row>
    <row r="714" spans="1:22">
      <c r="A714">
        <v>710</v>
      </c>
      <c r="B714" s="4">
        <v>46297.957118055558</v>
      </c>
      <c r="C714" s="5">
        <v>46297</v>
      </c>
      <c r="D714" s="6">
        <v>2.9576388888888889</v>
      </c>
      <c r="E714" s="5">
        <v>46297</v>
      </c>
      <c r="F714" t="s">
        <v>164</v>
      </c>
      <c r="G714" t="s">
        <v>165</v>
      </c>
      <c r="H714" t="s">
        <v>26</v>
      </c>
      <c r="I714" t="s">
        <v>27</v>
      </c>
      <c r="J714" t="s">
        <v>27</v>
      </c>
      <c r="K714" t="s">
        <v>590</v>
      </c>
      <c r="L714" s="2" t="s">
        <v>267</v>
      </c>
      <c r="M714" s="8" t="s">
        <v>268</v>
      </c>
      <c r="N714" s="7">
        <v>0.65</v>
      </c>
      <c r="O714" s="2">
        <v>1</v>
      </c>
      <c r="P714" s="7">
        <v>0.65</v>
      </c>
      <c r="Q714" s="7">
        <v>0</v>
      </c>
      <c r="R714" s="7">
        <v>0.1</v>
      </c>
      <c r="S714" s="7">
        <v>0.63</v>
      </c>
      <c r="T714" s="7">
        <v>0.75</v>
      </c>
      <c r="U714">
        <v>10</v>
      </c>
      <c r="V714">
        <v>10</v>
      </c>
    </row>
    <row r="715" spans="1:22">
      <c r="A715">
        <v>711</v>
      </c>
      <c r="B715" s="4">
        <v>46297.961631944447</v>
      </c>
      <c r="C715" s="5">
        <v>46297</v>
      </c>
      <c r="D715" s="6">
        <v>2.9616203703703703</v>
      </c>
      <c r="E715" s="5">
        <v>46297</v>
      </c>
      <c r="F715" t="s">
        <v>164</v>
      </c>
      <c r="G715" t="s">
        <v>165</v>
      </c>
      <c r="H715" t="s">
        <v>26</v>
      </c>
      <c r="I715" t="s">
        <v>27</v>
      </c>
      <c r="J715" t="s">
        <v>27</v>
      </c>
      <c r="K715" t="s">
        <v>591</v>
      </c>
      <c r="L715" s="2" t="s">
        <v>229</v>
      </c>
      <c r="M715" s="8" t="s">
        <v>230</v>
      </c>
      <c r="N715" s="7">
        <v>0.81</v>
      </c>
      <c r="O715" s="2">
        <v>1</v>
      </c>
      <c r="P715" s="7">
        <v>0.81</v>
      </c>
      <c r="Q715" s="7">
        <v>0</v>
      </c>
      <c r="R715" s="7">
        <v>0.13</v>
      </c>
      <c r="S715" s="7">
        <v>0.79</v>
      </c>
      <c r="T715" s="7">
        <v>0.94</v>
      </c>
      <c r="U715">
        <v>10</v>
      </c>
      <c r="V715">
        <v>10</v>
      </c>
    </row>
    <row r="716" spans="1:22">
      <c r="A716">
        <v>712</v>
      </c>
      <c r="B716" s="4">
        <v>46297.961631944447</v>
      </c>
      <c r="C716" s="5">
        <v>46297</v>
      </c>
      <c r="D716" s="6">
        <v>2.9616550925925926</v>
      </c>
      <c r="E716" s="5">
        <v>46297</v>
      </c>
      <c r="F716" t="s">
        <v>164</v>
      </c>
      <c r="G716" t="s">
        <v>165</v>
      </c>
      <c r="H716" t="s">
        <v>26</v>
      </c>
      <c r="I716" t="s">
        <v>27</v>
      </c>
      <c r="J716" t="s">
        <v>27</v>
      </c>
      <c r="K716" t="s">
        <v>591</v>
      </c>
      <c r="L716" s="2" t="s">
        <v>229</v>
      </c>
      <c r="M716" s="8" t="s">
        <v>230</v>
      </c>
      <c r="N716" s="7">
        <v>0.81</v>
      </c>
      <c r="O716" s="2">
        <v>1</v>
      </c>
      <c r="P716" s="7">
        <v>0.81</v>
      </c>
      <c r="Q716" s="7">
        <v>0</v>
      </c>
      <c r="R716" s="7">
        <v>0.13</v>
      </c>
      <c r="S716" s="7">
        <v>0.79</v>
      </c>
      <c r="T716" s="7">
        <v>0.94</v>
      </c>
      <c r="U716">
        <v>10</v>
      </c>
      <c r="V716">
        <v>10</v>
      </c>
    </row>
    <row r="717" spans="1:22">
      <c r="A717">
        <v>713</v>
      </c>
      <c r="B717" s="4">
        <v>46297.961631944447</v>
      </c>
      <c r="C717" s="5">
        <v>46297</v>
      </c>
      <c r="D717" s="6">
        <v>2.961689814814815</v>
      </c>
      <c r="E717" s="5">
        <v>46297</v>
      </c>
      <c r="F717" t="s">
        <v>164</v>
      </c>
      <c r="G717" t="s">
        <v>165</v>
      </c>
      <c r="H717" t="s">
        <v>26</v>
      </c>
      <c r="I717" t="s">
        <v>27</v>
      </c>
      <c r="J717" t="s">
        <v>27</v>
      </c>
      <c r="K717" t="s">
        <v>591</v>
      </c>
      <c r="L717" s="2" t="s">
        <v>229</v>
      </c>
      <c r="M717" s="8" t="s">
        <v>230</v>
      </c>
      <c r="N717" s="7">
        <v>0.81</v>
      </c>
      <c r="O717" s="2">
        <v>1</v>
      </c>
      <c r="P717" s="7">
        <v>0.81</v>
      </c>
      <c r="Q717" s="7">
        <v>0</v>
      </c>
      <c r="R717" s="7">
        <v>0.13</v>
      </c>
      <c r="S717" s="7">
        <v>0.79</v>
      </c>
      <c r="T717" s="7">
        <v>0.94</v>
      </c>
      <c r="U717">
        <v>10</v>
      </c>
      <c r="V717">
        <v>10</v>
      </c>
    </row>
    <row r="718" spans="1:22">
      <c r="A718">
        <v>714</v>
      </c>
      <c r="B718" s="4">
        <v>46297.961631944447</v>
      </c>
      <c r="C718" s="5">
        <v>46297</v>
      </c>
      <c r="D718" s="6">
        <v>2.9618402777777777</v>
      </c>
      <c r="E718" s="5">
        <v>46297</v>
      </c>
      <c r="F718" t="s">
        <v>164</v>
      </c>
      <c r="G718" t="s">
        <v>165</v>
      </c>
      <c r="H718" t="s">
        <v>26</v>
      </c>
      <c r="I718" t="s">
        <v>27</v>
      </c>
      <c r="J718" t="s">
        <v>27</v>
      </c>
      <c r="K718" t="s">
        <v>591</v>
      </c>
      <c r="L718" s="2" t="s">
        <v>63</v>
      </c>
      <c r="M718" s="8" t="s">
        <v>64</v>
      </c>
      <c r="N718" s="7">
        <v>1.9</v>
      </c>
      <c r="O718" s="2">
        <v>2</v>
      </c>
      <c r="P718" s="7">
        <v>3.8</v>
      </c>
      <c r="Q718" s="7">
        <v>0</v>
      </c>
      <c r="R718" s="7">
        <v>0.59</v>
      </c>
      <c r="S718" s="7">
        <v>3.66</v>
      </c>
      <c r="T718" s="7">
        <v>4.3899999999999997</v>
      </c>
      <c r="U718">
        <v>10</v>
      </c>
      <c r="V718">
        <v>10</v>
      </c>
    </row>
    <row r="719" spans="1:22">
      <c r="A719">
        <v>715</v>
      </c>
      <c r="B719" s="4">
        <v>46297.961631944447</v>
      </c>
      <c r="C719" s="5">
        <v>46297</v>
      </c>
      <c r="D719" s="6">
        <v>2.9619328703703705</v>
      </c>
      <c r="E719" s="5">
        <v>46297</v>
      </c>
      <c r="F719" t="s">
        <v>164</v>
      </c>
      <c r="G719" t="s">
        <v>165</v>
      </c>
      <c r="H719" t="s">
        <v>26</v>
      </c>
      <c r="I719" t="s">
        <v>27</v>
      </c>
      <c r="J719" t="s">
        <v>27</v>
      </c>
      <c r="K719" t="s">
        <v>591</v>
      </c>
      <c r="L719" s="2" t="s">
        <v>172</v>
      </c>
      <c r="M719" s="8" t="s">
        <v>173</v>
      </c>
      <c r="N719" s="7">
        <v>2.16</v>
      </c>
      <c r="O719" s="2">
        <v>2</v>
      </c>
      <c r="P719" s="7">
        <v>4.32</v>
      </c>
      <c r="Q719" s="7">
        <v>0</v>
      </c>
      <c r="R719" s="7">
        <v>0.67</v>
      </c>
      <c r="S719" s="7">
        <v>4.17</v>
      </c>
      <c r="T719" s="7">
        <v>4.99</v>
      </c>
      <c r="U719">
        <v>10</v>
      </c>
      <c r="V719">
        <v>10</v>
      </c>
    </row>
    <row r="720" spans="1:22">
      <c r="A720">
        <v>716</v>
      </c>
      <c r="B720" s="4">
        <v>46297.961631944447</v>
      </c>
      <c r="C720" s="5">
        <v>46297</v>
      </c>
      <c r="D720" s="6">
        <v>2.962037037037037</v>
      </c>
      <c r="E720" s="5">
        <v>46297</v>
      </c>
      <c r="F720" t="s">
        <v>164</v>
      </c>
      <c r="G720" t="s">
        <v>165</v>
      </c>
      <c r="H720" t="s">
        <v>26</v>
      </c>
      <c r="I720" t="s">
        <v>27</v>
      </c>
      <c r="J720" t="s">
        <v>27</v>
      </c>
      <c r="K720" t="s">
        <v>591</v>
      </c>
      <c r="L720" s="2" t="s">
        <v>146</v>
      </c>
      <c r="M720" s="8" t="s">
        <v>147</v>
      </c>
      <c r="N720" s="7">
        <v>2.16</v>
      </c>
      <c r="O720" s="2">
        <v>2</v>
      </c>
      <c r="P720" s="7">
        <v>4.32</v>
      </c>
      <c r="Q720" s="7">
        <v>0</v>
      </c>
      <c r="R720" s="7">
        <v>0.67</v>
      </c>
      <c r="S720" s="7">
        <v>4.17</v>
      </c>
      <c r="T720" s="7">
        <v>4.99</v>
      </c>
      <c r="U720">
        <v>10</v>
      </c>
      <c r="V720">
        <v>10</v>
      </c>
    </row>
    <row r="721" spans="1:22">
      <c r="A721">
        <v>717</v>
      </c>
      <c r="B721" s="4">
        <v>46297.962789351855</v>
      </c>
      <c r="C721" s="5">
        <v>46297</v>
      </c>
      <c r="D721" s="6">
        <v>2.962789351851852</v>
      </c>
      <c r="E721" s="5">
        <v>46297</v>
      </c>
      <c r="F721" t="s">
        <v>164</v>
      </c>
      <c r="G721" t="s">
        <v>165</v>
      </c>
      <c r="H721" t="s">
        <v>26</v>
      </c>
      <c r="I721" t="s">
        <v>27</v>
      </c>
      <c r="J721" t="s">
        <v>27</v>
      </c>
      <c r="K721" t="s">
        <v>592</v>
      </c>
      <c r="L721" s="2" t="s">
        <v>445</v>
      </c>
      <c r="M721" s="8" t="s">
        <v>446</v>
      </c>
      <c r="N721" s="7">
        <v>1.9</v>
      </c>
      <c r="O721" s="2">
        <v>2</v>
      </c>
      <c r="P721" s="7">
        <v>3.8</v>
      </c>
      <c r="Q721" s="7">
        <v>0</v>
      </c>
      <c r="R721" s="7">
        <v>0.59</v>
      </c>
      <c r="S721" s="7">
        <v>1.01</v>
      </c>
      <c r="T721" s="7">
        <v>4.3899999999999997</v>
      </c>
      <c r="U721">
        <v>10</v>
      </c>
      <c r="V721">
        <v>10</v>
      </c>
    </row>
    <row r="722" spans="1:22">
      <c r="A722">
        <v>718</v>
      </c>
      <c r="B722" s="4">
        <v>46297.965462962966</v>
      </c>
      <c r="C722" s="5">
        <v>46297</v>
      </c>
      <c r="D722" s="6">
        <v>2.9654629629629627</v>
      </c>
      <c r="E722" s="5">
        <v>46297</v>
      </c>
      <c r="F722" t="s">
        <v>164</v>
      </c>
      <c r="G722" t="s">
        <v>165</v>
      </c>
      <c r="H722" t="s">
        <v>26</v>
      </c>
      <c r="I722" t="s">
        <v>27</v>
      </c>
      <c r="J722" t="s">
        <v>27</v>
      </c>
      <c r="K722" t="s">
        <v>593</v>
      </c>
      <c r="L722" s="2" t="s">
        <v>160</v>
      </c>
      <c r="M722" s="8" t="s">
        <v>161</v>
      </c>
      <c r="N722" s="7">
        <v>2.16</v>
      </c>
      <c r="O722" s="2">
        <v>1</v>
      </c>
      <c r="P722" s="7">
        <v>2.16</v>
      </c>
      <c r="Q722" s="7">
        <v>0</v>
      </c>
      <c r="R722" s="7">
        <v>0.34</v>
      </c>
      <c r="S722" s="7">
        <v>2.08</v>
      </c>
      <c r="T722" s="7">
        <v>2.5</v>
      </c>
      <c r="U722">
        <v>10</v>
      </c>
      <c r="V722">
        <v>10</v>
      </c>
    </row>
    <row r="723" spans="1:22">
      <c r="A723">
        <v>719</v>
      </c>
      <c r="B723" s="4">
        <v>46297.965462962966</v>
      </c>
      <c r="C723" s="5">
        <v>46297</v>
      </c>
      <c r="D723" s="6">
        <v>2.9655671296296298</v>
      </c>
      <c r="E723" s="5">
        <v>46297</v>
      </c>
      <c r="F723" t="s">
        <v>164</v>
      </c>
      <c r="G723" t="s">
        <v>165</v>
      </c>
      <c r="H723" t="s">
        <v>26</v>
      </c>
      <c r="I723" t="s">
        <v>27</v>
      </c>
      <c r="J723" t="s">
        <v>27</v>
      </c>
      <c r="K723" t="s">
        <v>593</v>
      </c>
      <c r="L723" s="2" t="s">
        <v>311</v>
      </c>
      <c r="M723" s="8" t="s">
        <v>312</v>
      </c>
      <c r="N723" s="7">
        <v>0.55000000000000004</v>
      </c>
      <c r="O723" s="2">
        <v>1</v>
      </c>
      <c r="P723" s="7">
        <v>0.55000000000000004</v>
      </c>
      <c r="Q723" s="7">
        <v>0</v>
      </c>
      <c r="R723" s="7">
        <v>0.08</v>
      </c>
      <c r="S723" s="7">
        <v>0.27</v>
      </c>
      <c r="T723" s="7">
        <v>0.63</v>
      </c>
      <c r="U723">
        <v>10</v>
      </c>
      <c r="V723">
        <v>10</v>
      </c>
    </row>
    <row r="724" spans="1:22">
      <c r="A724">
        <v>720</v>
      </c>
      <c r="B724" s="4">
        <v>46297.978437500002</v>
      </c>
      <c r="C724" s="5">
        <v>46297</v>
      </c>
      <c r="D724" s="6">
        <v>2.9784375000000001</v>
      </c>
      <c r="E724" s="5">
        <v>46297</v>
      </c>
      <c r="F724" t="s">
        <v>164</v>
      </c>
      <c r="G724" t="s">
        <v>165</v>
      </c>
      <c r="H724" t="s">
        <v>26</v>
      </c>
      <c r="I724" t="s">
        <v>27</v>
      </c>
      <c r="J724" t="s">
        <v>27</v>
      </c>
      <c r="K724" t="s">
        <v>594</v>
      </c>
      <c r="L724" s="2" t="s">
        <v>35</v>
      </c>
      <c r="M724" s="8" t="s">
        <v>36</v>
      </c>
      <c r="N724" s="7">
        <v>0.81</v>
      </c>
      <c r="O724" s="2">
        <v>2</v>
      </c>
      <c r="P724" s="7">
        <v>1.62</v>
      </c>
      <c r="Q724" s="7">
        <v>0</v>
      </c>
      <c r="R724" s="7">
        <v>0.25</v>
      </c>
      <c r="S724" s="7">
        <v>0.75</v>
      </c>
      <c r="T724" s="7">
        <v>1.87</v>
      </c>
      <c r="U724">
        <v>10</v>
      </c>
      <c r="V724">
        <v>10</v>
      </c>
    </row>
    <row r="725" spans="1:22">
      <c r="A725">
        <v>721</v>
      </c>
      <c r="B725" s="4">
        <v>46297.979050925926</v>
      </c>
      <c r="C725" s="5">
        <v>46297</v>
      </c>
      <c r="D725" s="6">
        <v>2.9790509259259261</v>
      </c>
      <c r="E725" s="5">
        <v>46297</v>
      </c>
      <c r="F725" t="s">
        <v>164</v>
      </c>
      <c r="G725" t="s">
        <v>165</v>
      </c>
      <c r="H725" t="s">
        <v>26</v>
      </c>
      <c r="I725" t="s">
        <v>27</v>
      </c>
      <c r="J725" t="s">
        <v>27</v>
      </c>
      <c r="K725" t="s">
        <v>595</v>
      </c>
      <c r="L725" s="2" t="s">
        <v>596</v>
      </c>
      <c r="M725" s="8" t="s">
        <v>597</v>
      </c>
      <c r="N725" s="7">
        <v>1.9</v>
      </c>
      <c r="O725" s="2">
        <v>1</v>
      </c>
      <c r="P725" s="7">
        <v>1.9</v>
      </c>
      <c r="Q725" s="7">
        <v>0</v>
      </c>
      <c r="R725" s="7">
        <v>0.28999999999999998</v>
      </c>
      <c r="S725" s="7">
        <v>0.79</v>
      </c>
      <c r="T725" s="7">
        <v>2.19</v>
      </c>
      <c r="U725">
        <v>10</v>
      </c>
      <c r="V725">
        <v>10</v>
      </c>
    </row>
    <row r="726" spans="1:22">
      <c r="A726">
        <v>722</v>
      </c>
      <c r="B726" s="4">
        <v>46297.979930555557</v>
      </c>
      <c r="C726" s="5">
        <v>46297</v>
      </c>
      <c r="D726" s="6">
        <v>2.9799305555555557</v>
      </c>
      <c r="E726" s="5">
        <v>46297</v>
      </c>
      <c r="F726" t="s">
        <v>164</v>
      </c>
      <c r="G726" t="s">
        <v>165</v>
      </c>
      <c r="H726" t="s">
        <v>26</v>
      </c>
      <c r="I726" t="s">
        <v>27</v>
      </c>
      <c r="J726" t="s">
        <v>27</v>
      </c>
      <c r="K726" t="s">
        <v>598</v>
      </c>
      <c r="L726" s="2" t="s">
        <v>81</v>
      </c>
      <c r="M726" s="8" t="s">
        <v>82</v>
      </c>
      <c r="N726" s="7">
        <v>1.08</v>
      </c>
      <c r="O726" s="2">
        <v>2</v>
      </c>
      <c r="P726" s="7">
        <v>2.16</v>
      </c>
      <c r="Q726" s="7">
        <v>0</v>
      </c>
      <c r="R726" s="7">
        <v>0.34</v>
      </c>
      <c r="S726" s="7">
        <v>0.51</v>
      </c>
      <c r="T726" s="7">
        <v>2.5</v>
      </c>
      <c r="U726">
        <v>10</v>
      </c>
      <c r="V726">
        <v>10</v>
      </c>
    </row>
    <row r="727" spans="1:22">
      <c r="A727">
        <v>723</v>
      </c>
      <c r="B727" s="4">
        <v>46297.980266203704</v>
      </c>
      <c r="C727" s="5">
        <v>46297</v>
      </c>
      <c r="D727" s="6">
        <v>2.9802662037037035</v>
      </c>
      <c r="E727" s="5">
        <v>46297</v>
      </c>
      <c r="F727" t="s">
        <v>164</v>
      </c>
      <c r="G727" t="s">
        <v>165</v>
      </c>
      <c r="H727" t="s">
        <v>26</v>
      </c>
      <c r="I727" t="s">
        <v>27</v>
      </c>
      <c r="J727" t="s">
        <v>27</v>
      </c>
      <c r="K727" t="s">
        <v>599</v>
      </c>
      <c r="L727" s="2" t="s">
        <v>344</v>
      </c>
      <c r="M727" s="8" t="s">
        <v>345</v>
      </c>
      <c r="N727" s="7">
        <v>0.38</v>
      </c>
      <c r="O727" s="2">
        <v>1</v>
      </c>
      <c r="P727" s="7">
        <v>0.38</v>
      </c>
      <c r="Q727" s="7">
        <v>0</v>
      </c>
      <c r="R727" s="7">
        <v>0.06</v>
      </c>
      <c r="S727" s="7">
        <v>0.37</v>
      </c>
      <c r="T727" s="7">
        <v>0.44</v>
      </c>
      <c r="U727">
        <v>10</v>
      </c>
      <c r="V727">
        <v>10</v>
      </c>
    </row>
    <row r="728" spans="1:22">
      <c r="A728">
        <v>724</v>
      </c>
      <c r="B728" s="4">
        <v>46297.980266203704</v>
      </c>
      <c r="C728" s="5">
        <v>46297</v>
      </c>
      <c r="D728" s="6">
        <v>2.9803356481481482</v>
      </c>
      <c r="E728" s="5">
        <v>46297</v>
      </c>
      <c r="F728" t="s">
        <v>164</v>
      </c>
      <c r="G728" t="s">
        <v>165</v>
      </c>
      <c r="H728" t="s">
        <v>26</v>
      </c>
      <c r="I728" t="s">
        <v>27</v>
      </c>
      <c r="J728" t="s">
        <v>27</v>
      </c>
      <c r="K728" t="s">
        <v>599</v>
      </c>
      <c r="L728" s="2" t="s">
        <v>53</v>
      </c>
      <c r="M728" s="8" t="s">
        <v>54</v>
      </c>
      <c r="N728" s="7">
        <v>0.38</v>
      </c>
      <c r="O728" s="2">
        <v>1</v>
      </c>
      <c r="P728" s="7">
        <v>0.38</v>
      </c>
      <c r="Q728" s="7">
        <v>0</v>
      </c>
      <c r="R728" s="7">
        <v>0.06</v>
      </c>
      <c r="S728" s="7">
        <v>0.3</v>
      </c>
      <c r="T728" s="7">
        <v>0.44</v>
      </c>
      <c r="U728">
        <v>10</v>
      </c>
      <c r="V728">
        <v>10</v>
      </c>
    </row>
    <row r="729" spans="1:22">
      <c r="A729">
        <v>725</v>
      </c>
      <c r="B729" s="4">
        <v>46297.980509259258</v>
      </c>
      <c r="C729" s="5">
        <v>46297</v>
      </c>
      <c r="D729" s="6">
        <v>2.9805092592592595</v>
      </c>
      <c r="E729" s="5">
        <v>46297</v>
      </c>
      <c r="F729" t="s">
        <v>164</v>
      </c>
      <c r="G729" t="s">
        <v>165</v>
      </c>
      <c r="H729" t="s">
        <v>26</v>
      </c>
      <c r="I729" t="s">
        <v>27</v>
      </c>
      <c r="J729" t="s">
        <v>27</v>
      </c>
      <c r="K729" t="s">
        <v>600</v>
      </c>
      <c r="L729" s="2" t="s">
        <v>47</v>
      </c>
      <c r="M729" s="8" t="s">
        <v>48</v>
      </c>
      <c r="N729" s="7">
        <v>0.05</v>
      </c>
      <c r="O729" s="2">
        <v>4</v>
      </c>
      <c r="P729" s="7">
        <v>0.2</v>
      </c>
      <c r="Q729" s="7">
        <v>0</v>
      </c>
      <c r="R729" s="7">
        <v>0.03</v>
      </c>
      <c r="S729" s="7">
        <v>0.09</v>
      </c>
      <c r="T729" s="7">
        <v>0.23</v>
      </c>
      <c r="U729">
        <v>10</v>
      </c>
      <c r="V729">
        <v>10</v>
      </c>
    </row>
    <row r="730" spans="1:22">
      <c r="A730">
        <v>726</v>
      </c>
      <c r="B730" s="4">
        <v>46298.010208333333</v>
      </c>
      <c r="C730" s="5">
        <v>46297</v>
      </c>
      <c r="D730" s="6">
        <v>2.0101967592592591</v>
      </c>
      <c r="E730" s="5">
        <v>46297</v>
      </c>
      <c r="F730" t="s">
        <v>164</v>
      </c>
      <c r="G730" t="s">
        <v>165</v>
      </c>
      <c r="H730" t="s">
        <v>26</v>
      </c>
      <c r="I730" t="s">
        <v>27</v>
      </c>
      <c r="J730" t="s">
        <v>27</v>
      </c>
      <c r="K730" t="s">
        <v>601</v>
      </c>
      <c r="L730" s="2" t="s">
        <v>81</v>
      </c>
      <c r="M730" s="8" t="s">
        <v>82</v>
      </c>
      <c r="N730" s="7">
        <v>1.08</v>
      </c>
      <c r="O730" s="2">
        <v>1</v>
      </c>
      <c r="P730" s="7">
        <v>1.08</v>
      </c>
      <c r="Q730" s="7">
        <v>0</v>
      </c>
      <c r="R730" s="7">
        <v>0.17</v>
      </c>
      <c r="S730" s="7">
        <v>0.26</v>
      </c>
      <c r="T730" s="7">
        <v>1.25</v>
      </c>
      <c r="U730">
        <v>10</v>
      </c>
      <c r="V730">
        <v>10</v>
      </c>
    </row>
    <row r="731" spans="1:22">
      <c r="A731">
        <v>727</v>
      </c>
      <c r="B731" s="4">
        <v>46298.010439814818</v>
      </c>
      <c r="C731" s="5">
        <v>46297</v>
      </c>
      <c r="D731" s="6">
        <v>2.0104398148148146</v>
      </c>
      <c r="E731" s="5">
        <v>46297</v>
      </c>
      <c r="F731" t="s">
        <v>164</v>
      </c>
      <c r="G731" t="s">
        <v>165</v>
      </c>
      <c r="H731" t="s">
        <v>26</v>
      </c>
      <c r="I731" t="s">
        <v>27</v>
      </c>
      <c r="J731" t="s">
        <v>27</v>
      </c>
      <c r="K731" t="s">
        <v>602</v>
      </c>
      <c r="L731" s="2" t="s">
        <v>109</v>
      </c>
      <c r="M731" s="8" t="s">
        <v>110</v>
      </c>
      <c r="N731" s="7">
        <v>1.08</v>
      </c>
      <c r="O731" s="2">
        <v>2</v>
      </c>
      <c r="P731" s="7">
        <v>2.16</v>
      </c>
      <c r="Q731" s="7">
        <v>0</v>
      </c>
      <c r="R731" s="7">
        <v>0.34</v>
      </c>
      <c r="S731" s="7">
        <v>0.51</v>
      </c>
      <c r="T731" s="7">
        <v>2.5</v>
      </c>
      <c r="U731">
        <v>10</v>
      </c>
      <c r="V731">
        <v>10</v>
      </c>
    </row>
    <row r="732" spans="1:22">
      <c r="A732">
        <v>728</v>
      </c>
      <c r="B732" s="4">
        <v>46298.010439814818</v>
      </c>
      <c r="C732" s="5">
        <v>46297</v>
      </c>
      <c r="D732" s="6">
        <v>2.0105092592592593</v>
      </c>
      <c r="E732" s="5">
        <v>46297</v>
      </c>
      <c r="F732" t="s">
        <v>164</v>
      </c>
      <c r="G732" t="s">
        <v>165</v>
      </c>
      <c r="H732" t="s">
        <v>26</v>
      </c>
      <c r="I732" t="s">
        <v>27</v>
      </c>
      <c r="J732" t="s">
        <v>27</v>
      </c>
      <c r="K732" t="s">
        <v>602</v>
      </c>
      <c r="L732" s="2" t="s">
        <v>113</v>
      </c>
      <c r="M732" s="8" t="s">
        <v>114</v>
      </c>
      <c r="N732" s="7">
        <v>1.08</v>
      </c>
      <c r="O732" s="2">
        <v>2</v>
      </c>
      <c r="P732" s="7">
        <v>2.16</v>
      </c>
      <c r="Q732" s="7">
        <v>0</v>
      </c>
      <c r="R732" s="7">
        <v>0.34</v>
      </c>
      <c r="S732" s="7">
        <v>0.51</v>
      </c>
      <c r="T732" s="7">
        <v>2.5</v>
      </c>
      <c r="U732">
        <v>10</v>
      </c>
      <c r="V732">
        <v>10</v>
      </c>
    </row>
    <row r="733" spans="1:22">
      <c r="A733">
        <v>729</v>
      </c>
      <c r="B733" s="4">
        <v>46298.010439814818</v>
      </c>
      <c r="C733" s="5">
        <v>46297</v>
      </c>
      <c r="D733" s="6">
        <v>2.0111689814814815</v>
      </c>
      <c r="E733" s="5">
        <v>46297</v>
      </c>
      <c r="F733" t="s">
        <v>164</v>
      </c>
      <c r="G733" t="s">
        <v>165</v>
      </c>
      <c r="H733" t="s">
        <v>26</v>
      </c>
      <c r="I733" t="s">
        <v>27</v>
      </c>
      <c r="J733" t="s">
        <v>27</v>
      </c>
      <c r="K733" t="s">
        <v>602</v>
      </c>
      <c r="L733" s="2" t="s">
        <v>76</v>
      </c>
      <c r="M733" s="8" t="s">
        <v>77</v>
      </c>
      <c r="N733" s="7">
        <v>0.65</v>
      </c>
      <c r="O733" s="2">
        <v>1</v>
      </c>
      <c r="P733" s="7">
        <v>0.65</v>
      </c>
      <c r="Q733" s="7">
        <v>0</v>
      </c>
      <c r="R733" s="7">
        <v>0.1</v>
      </c>
      <c r="S733" s="7">
        <v>0.63</v>
      </c>
      <c r="T733" s="7">
        <v>0.75</v>
      </c>
      <c r="U733">
        <v>10</v>
      </c>
      <c r="V733">
        <v>10</v>
      </c>
    </row>
    <row r="734" spans="1:22">
      <c r="A734">
        <v>730</v>
      </c>
      <c r="B734" s="4">
        <v>46298.010439814818</v>
      </c>
      <c r="C734" s="5">
        <v>46297</v>
      </c>
      <c r="D734" s="6">
        <v>2.0112962962962961</v>
      </c>
      <c r="E734" s="5">
        <v>46297</v>
      </c>
      <c r="F734" t="s">
        <v>164</v>
      </c>
      <c r="G734" t="s">
        <v>165</v>
      </c>
      <c r="H734" t="s">
        <v>26</v>
      </c>
      <c r="I734" t="s">
        <v>27</v>
      </c>
      <c r="J734" t="s">
        <v>27</v>
      </c>
      <c r="K734" t="s">
        <v>602</v>
      </c>
      <c r="L734" s="2" t="s">
        <v>596</v>
      </c>
      <c r="M734" s="8" t="s">
        <v>597</v>
      </c>
      <c r="N734" s="7">
        <v>1.9</v>
      </c>
      <c r="O734" s="2">
        <v>1</v>
      </c>
      <c r="P734" s="7">
        <v>1.9</v>
      </c>
      <c r="Q734" s="7">
        <v>0</v>
      </c>
      <c r="R734" s="7">
        <v>0.28999999999999998</v>
      </c>
      <c r="S734" s="7">
        <v>0.79</v>
      </c>
      <c r="T734" s="7">
        <v>2.19</v>
      </c>
      <c r="U734">
        <v>10</v>
      </c>
      <c r="V734">
        <v>10</v>
      </c>
    </row>
    <row r="735" spans="1:22">
      <c r="A735">
        <v>731</v>
      </c>
      <c r="B735" s="4">
        <v>46298.015648148146</v>
      </c>
      <c r="C735" s="5">
        <v>46297</v>
      </c>
      <c r="D735" s="6">
        <v>2.0156481481481481</v>
      </c>
      <c r="E735" s="5">
        <v>46297</v>
      </c>
      <c r="F735" t="s">
        <v>164</v>
      </c>
      <c r="G735" t="s">
        <v>165</v>
      </c>
      <c r="H735" t="s">
        <v>26</v>
      </c>
      <c r="I735" t="s">
        <v>27</v>
      </c>
      <c r="J735" t="s">
        <v>27</v>
      </c>
      <c r="K735" t="s">
        <v>603</v>
      </c>
      <c r="L735" s="2" t="s">
        <v>557</v>
      </c>
      <c r="M735" s="8" t="s">
        <v>558</v>
      </c>
      <c r="N735" s="7">
        <v>2.71</v>
      </c>
      <c r="O735" s="2">
        <v>1</v>
      </c>
      <c r="P735" s="7">
        <v>2.71</v>
      </c>
      <c r="Q735" s="7">
        <v>0</v>
      </c>
      <c r="R735" s="7">
        <v>0.42</v>
      </c>
      <c r="S735" s="7">
        <v>0.81</v>
      </c>
      <c r="T735" s="7">
        <v>3.13</v>
      </c>
      <c r="U735">
        <v>10</v>
      </c>
      <c r="V735">
        <v>10</v>
      </c>
    </row>
    <row r="736" spans="1:22">
      <c r="A736">
        <v>732</v>
      </c>
      <c r="B736" s="4">
        <v>46298.015648148146</v>
      </c>
      <c r="C736" s="5">
        <v>46297</v>
      </c>
      <c r="D736" s="6">
        <v>2.0397222222222222</v>
      </c>
      <c r="E736" s="5">
        <v>46297</v>
      </c>
      <c r="F736" t="s">
        <v>164</v>
      </c>
      <c r="G736" t="s">
        <v>165</v>
      </c>
      <c r="H736" t="s">
        <v>26</v>
      </c>
      <c r="I736" t="s">
        <v>27</v>
      </c>
      <c r="J736" t="s">
        <v>27</v>
      </c>
      <c r="K736" t="s">
        <v>603</v>
      </c>
      <c r="L736" s="3" t="s">
        <v>231</v>
      </c>
      <c r="M736" s="8" t="s">
        <v>232</v>
      </c>
      <c r="N736" s="7">
        <v>0.55000000000000004</v>
      </c>
      <c r="O736" s="2">
        <v>3</v>
      </c>
      <c r="P736" s="7">
        <v>1.65</v>
      </c>
      <c r="Q736" s="7">
        <v>0</v>
      </c>
      <c r="R736" s="7">
        <v>0.25</v>
      </c>
      <c r="S736" s="7">
        <v>1.61</v>
      </c>
      <c r="T736" s="7">
        <v>1.9</v>
      </c>
      <c r="U736">
        <v>10</v>
      </c>
      <c r="V736">
        <v>10</v>
      </c>
    </row>
    <row r="737" spans="1:22">
      <c r="A737">
        <v>733</v>
      </c>
      <c r="B737" s="4">
        <v>46298.083333333336</v>
      </c>
      <c r="C737" s="5">
        <v>46297</v>
      </c>
      <c r="D737" s="6">
        <v>2.0833217592592592</v>
      </c>
      <c r="E737" s="5">
        <v>46297</v>
      </c>
      <c r="F737" t="s">
        <v>164</v>
      </c>
      <c r="G737" t="s">
        <v>165</v>
      </c>
      <c r="H737" t="s">
        <v>26</v>
      </c>
      <c r="I737" t="s">
        <v>27</v>
      </c>
      <c r="J737" t="s">
        <v>27</v>
      </c>
      <c r="K737" t="s">
        <v>604</v>
      </c>
      <c r="L737" s="2" t="s">
        <v>109</v>
      </c>
      <c r="M737" s="8" t="s">
        <v>110</v>
      </c>
      <c r="N737" s="7">
        <v>1.08</v>
      </c>
      <c r="O737" s="2">
        <v>2</v>
      </c>
      <c r="P737" s="7">
        <v>2.16</v>
      </c>
      <c r="Q737" s="7">
        <v>0</v>
      </c>
      <c r="R737" s="7">
        <v>0.34</v>
      </c>
      <c r="S737" s="7">
        <v>0.51</v>
      </c>
      <c r="T737" s="7">
        <v>2.5</v>
      </c>
      <c r="U737">
        <v>10</v>
      </c>
      <c r="V737">
        <v>10</v>
      </c>
    </row>
    <row r="738" spans="1:22">
      <c r="A738">
        <v>734</v>
      </c>
      <c r="B738" s="4">
        <v>46298.083333333336</v>
      </c>
      <c r="C738" s="5">
        <v>46297</v>
      </c>
      <c r="D738" s="6">
        <v>2.0834490740740739</v>
      </c>
      <c r="E738" s="5">
        <v>46297</v>
      </c>
      <c r="F738" t="s">
        <v>164</v>
      </c>
      <c r="G738" t="s">
        <v>165</v>
      </c>
      <c r="H738" t="s">
        <v>26</v>
      </c>
      <c r="I738" t="s">
        <v>27</v>
      </c>
      <c r="J738" t="s">
        <v>27</v>
      </c>
      <c r="K738" t="s">
        <v>604</v>
      </c>
      <c r="L738" s="2" t="s">
        <v>35</v>
      </c>
      <c r="M738" s="8" t="s">
        <v>36</v>
      </c>
      <c r="N738" s="7">
        <v>0.81</v>
      </c>
      <c r="O738" s="2">
        <v>1</v>
      </c>
      <c r="P738" s="7">
        <v>0.81</v>
      </c>
      <c r="Q738" s="7">
        <v>0</v>
      </c>
      <c r="R738" s="7">
        <v>0.13</v>
      </c>
      <c r="S738" s="7">
        <v>0.38</v>
      </c>
      <c r="T738" s="7">
        <v>0.94</v>
      </c>
      <c r="U738">
        <v>10</v>
      </c>
      <c r="V738">
        <v>10</v>
      </c>
    </row>
    <row r="739" spans="1:22">
      <c r="A739">
        <v>735</v>
      </c>
      <c r="B739" s="4">
        <v>46298.083333333336</v>
      </c>
      <c r="C739" s="5">
        <v>46297</v>
      </c>
      <c r="D739" s="6">
        <v>2.0836342592592594</v>
      </c>
      <c r="E739" s="5">
        <v>46297</v>
      </c>
      <c r="F739" t="s">
        <v>164</v>
      </c>
      <c r="G739" t="s">
        <v>165</v>
      </c>
      <c r="H739" t="s">
        <v>26</v>
      </c>
      <c r="I739" t="s">
        <v>27</v>
      </c>
      <c r="J739" t="s">
        <v>27</v>
      </c>
      <c r="K739" t="s">
        <v>604</v>
      </c>
      <c r="L739" s="2" t="s">
        <v>29</v>
      </c>
      <c r="M739" s="8" t="s">
        <v>30</v>
      </c>
      <c r="N739" s="7">
        <v>0.81</v>
      </c>
      <c r="O739" s="2">
        <v>1</v>
      </c>
      <c r="P739" s="7">
        <v>0.81</v>
      </c>
      <c r="Q739" s="7">
        <v>0</v>
      </c>
      <c r="R739" s="7">
        <v>0.13</v>
      </c>
      <c r="S739" s="7">
        <v>0.43</v>
      </c>
      <c r="T739" s="7">
        <v>0.94</v>
      </c>
      <c r="U739">
        <v>10</v>
      </c>
      <c r="V739">
        <v>10</v>
      </c>
    </row>
    <row r="740" spans="1:22">
      <c r="A740">
        <v>736</v>
      </c>
      <c r="B740" s="4">
        <v>46298.083333333336</v>
      </c>
      <c r="C740" s="5">
        <v>46297</v>
      </c>
      <c r="D740" s="6">
        <v>2.0868981481481481</v>
      </c>
      <c r="E740" s="5">
        <v>46297</v>
      </c>
      <c r="F740" t="s">
        <v>164</v>
      </c>
      <c r="G740" t="s">
        <v>165</v>
      </c>
      <c r="H740" t="s">
        <v>26</v>
      </c>
      <c r="I740" t="s">
        <v>27</v>
      </c>
      <c r="J740" t="s">
        <v>27</v>
      </c>
      <c r="K740" t="s">
        <v>604</v>
      </c>
      <c r="L740" s="2" t="s">
        <v>474</v>
      </c>
      <c r="M740" s="8" t="s">
        <v>475</v>
      </c>
      <c r="N740" s="7">
        <v>1.25</v>
      </c>
      <c r="O740" s="2">
        <v>1</v>
      </c>
      <c r="P740" s="7">
        <v>1.25</v>
      </c>
      <c r="Q740" s="7">
        <v>0</v>
      </c>
      <c r="R740" s="7">
        <v>0</v>
      </c>
      <c r="S740" s="7">
        <v>1.21</v>
      </c>
      <c r="T740" s="7">
        <v>1.25</v>
      </c>
      <c r="U740">
        <v>10</v>
      </c>
      <c r="V740">
        <v>10</v>
      </c>
    </row>
    <row r="741" spans="1:22">
      <c r="A741">
        <v>737</v>
      </c>
      <c r="B741" s="4">
        <v>46298.089965277781</v>
      </c>
      <c r="C741" s="5">
        <v>46297</v>
      </c>
      <c r="D741" s="6">
        <v>2.0899537037037037</v>
      </c>
      <c r="E741" s="5">
        <v>46297</v>
      </c>
      <c r="F741" t="s">
        <v>164</v>
      </c>
      <c r="G741" t="s">
        <v>165</v>
      </c>
      <c r="H741" t="s">
        <v>26</v>
      </c>
      <c r="I741" t="s">
        <v>27</v>
      </c>
      <c r="J741" t="s">
        <v>27</v>
      </c>
      <c r="K741" t="s">
        <v>605</v>
      </c>
      <c r="L741" s="3" t="s">
        <v>231</v>
      </c>
      <c r="M741" s="8" t="s">
        <v>232</v>
      </c>
      <c r="N741" s="7">
        <v>0.55000000000000004</v>
      </c>
      <c r="O741" s="2">
        <v>1</v>
      </c>
      <c r="P741" s="7">
        <v>0.55000000000000004</v>
      </c>
      <c r="Q741" s="7">
        <v>0</v>
      </c>
      <c r="R741" s="7">
        <v>0.08</v>
      </c>
      <c r="S741" s="7">
        <v>0.54</v>
      </c>
      <c r="T741" s="7">
        <v>0.63</v>
      </c>
      <c r="U741">
        <v>10</v>
      </c>
      <c r="V741">
        <v>10</v>
      </c>
    </row>
    <row r="742" spans="1:22">
      <c r="A742">
        <v>738</v>
      </c>
      <c r="B742" s="4">
        <v>46298.091724537036</v>
      </c>
      <c r="C742" s="5">
        <v>46297</v>
      </c>
      <c r="D742" s="6">
        <v>2.0917129629629629</v>
      </c>
      <c r="E742" s="5">
        <v>46297</v>
      </c>
      <c r="F742" t="s">
        <v>164</v>
      </c>
      <c r="G742" t="s">
        <v>165</v>
      </c>
      <c r="H742" t="s">
        <v>26</v>
      </c>
      <c r="I742" t="s">
        <v>27</v>
      </c>
      <c r="J742" t="s">
        <v>27</v>
      </c>
      <c r="K742" t="s">
        <v>606</v>
      </c>
      <c r="L742" s="2" t="s">
        <v>96</v>
      </c>
      <c r="M742" s="8" t="s">
        <v>97</v>
      </c>
      <c r="N742" s="7">
        <v>1.63</v>
      </c>
      <c r="O742" s="2">
        <v>1</v>
      </c>
      <c r="P742" s="7">
        <v>1.63</v>
      </c>
      <c r="Q742" s="7">
        <v>0</v>
      </c>
      <c r="R742" s="7">
        <v>0.25</v>
      </c>
      <c r="S742" s="7">
        <v>1.56</v>
      </c>
      <c r="T742" s="7">
        <v>1.88</v>
      </c>
      <c r="U742">
        <v>10</v>
      </c>
      <c r="V742">
        <v>10</v>
      </c>
    </row>
    <row r="743" spans="1:22">
      <c r="A743">
        <v>739</v>
      </c>
      <c r="B743" s="4">
        <v>46298.091724537036</v>
      </c>
      <c r="C743" s="5">
        <v>46297</v>
      </c>
      <c r="D743" s="6">
        <v>2.0918171296296295</v>
      </c>
      <c r="E743" s="5">
        <v>46297</v>
      </c>
      <c r="F743" t="s">
        <v>164</v>
      </c>
      <c r="G743" t="s">
        <v>165</v>
      </c>
      <c r="H743" t="s">
        <v>26</v>
      </c>
      <c r="I743" t="s">
        <v>27</v>
      </c>
      <c r="J743" t="s">
        <v>27</v>
      </c>
      <c r="K743" t="s">
        <v>606</v>
      </c>
      <c r="L743" s="2" t="s">
        <v>56</v>
      </c>
      <c r="M743" s="8" t="s">
        <v>57</v>
      </c>
      <c r="N743" s="7">
        <v>0.27</v>
      </c>
      <c r="O743" s="2">
        <v>2</v>
      </c>
      <c r="P743" s="7">
        <v>0.54</v>
      </c>
      <c r="Q743" s="7">
        <v>0</v>
      </c>
      <c r="R743" s="7">
        <v>0.08</v>
      </c>
      <c r="S743" s="7">
        <v>0.38</v>
      </c>
      <c r="T743" s="7">
        <v>0.62</v>
      </c>
      <c r="U743">
        <v>10</v>
      </c>
      <c r="V743">
        <v>10</v>
      </c>
    </row>
    <row r="744" spans="1:22">
      <c r="A744">
        <v>740</v>
      </c>
      <c r="B744" s="4">
        <v>46298.145520833335</v>
      </c>
      <c r="C744" s="5">
        <v>46297</v>
      </c>
      <c r="D744" s="6">
        <v>2.1455208333333333</v>
      </c>
      <c r="E744" s="5">
        <v>46297</v>
      </c>
      <c r="F744" t="s">
        <v>164</v>
      </c>
      <c r="G744" t="s">
        <v>165</v>
      </c>
      <c r="H744" t="s">
        <v>26</v>
      </c>
      <c r="I744" t="s">
        <v>27</v>
      </c>
      <c r="J744" t="s">
        <v>27</v>
      </c>
      <c r="K744" t="s">
        <v>607</v>
      </c>
      <c r="L744" s="2" t="s">
        <v>474</v>
      </c>
      <c r="M744" s="8" t="s">
        <v>475</v>
      </c>
      <c r="N744" s="7">
        <v>1.25</v>
      </c>
      <c r="O744" s="2">
        <v>2</v>
      </c>
      <c r="P744" s="7">
        <v>2.5</v>
      </c>
      <c r="Q744" s="7">
        <v>0</v>
      </c>
      <c r="R744" s="7">
        <v>0</v>
      </c>
      <c r="S744" s="7">
        <v>2.4300000000000002</v>
      </c>
      <c r="T744" s="7">
        <v>2.5</v>
      </c>
      <c r="U744">
        <v>10</v>
      </c>
      <c r="V744">
        <v>10</v>
      </c>
    </row>
    <row r="745" spans="1:22">
      <c r="A745">
        <v>741</v>
      </c>
      <c r="B745" s="4">
        <v>46298.145520833335</v>
      </c>
      <c r="C745" s="5">
        <v>46297</v>
      </c>
      <c r="D745" s="6">
        <v>2.1456365740740742</v>
      </c>
      <c r="E745" s="5">
        <v>46297</v>
      </c>
      <c r="F745" t="s">
        <v>164</v>
      </c>
      <c r="G745" t="s">
        <v>165</v>
      </c>
      <c r="H745" t="s">
        <v>26</v>
      </c>
      <c r="I745" t="s">
        <v>27</v>
      </c>
      <c r="J745" t="s">
        <v>27</v>
      </c>
      <c r="K745" t="s">
        <v>607</v>
      </c>
      <c r="L745" s="2" t="s">
        <v>162</v>
      </c>
      <c r="M745" s="8" t="s">
        <v>163</v>
      </c>
      <c r="N745" s="7">
        <v>1.63</v>
      </c>
      <c r="O745" s="2">
        <v>1</v>
      </c>
      <c r="P745" s="7">
        <v>1.63</v>
      </c>
      <c r="Q745" s="7">
        <v>0</v>
      </c>
      <c r="R745" s="7">
        <v>0.25</v>
      </c>
      <c r="S745" s="7">
        <v>1.57</v>
      </c>
      <c r="T745" s="7">
        <v>1.88</v>
      </c>
      <c r="U745">
        <v>10</v>
      </c>
      <c r="V745">
        <v>10</v>
      </c>
    </row>
    <row r="746" spans="1:22">
      <c r="A746">
        <v>742</v>
      </c>
      <c r="B746" s="4">
        <v>46298.149606481478</v>
      </c>
      <c r="C746" s="5">
        <v>46297</v>
      </c>
      <c r="D746" s="6">
        <v>2.1496064814814817</v>
      </c>
      <c r="E746" s="5">
        <v>46297</v>
      </c>
      <c r="F746" t="s">
        <v>164</v>
      </c>
      <c r="G746" t="s">
        <v>165</v>
      </c>
      <c r="H746" t="s">
        <v>26</v>
      </c>
      <c r="I746" t="s">
        <v>27</v>
      </c>
      <c r="J746" t="s">
        <v>27</v>
      </c>
      <c r="K746" t="s">
        <v>608</v>
      </c>
      <c r="L746" s="2" t="s">
        <v>100</v>
      </c>
      <c r="M746" s="8" t="s">
        <v>101</v>
      </c>
      <c r="N746" s="7">
        <v>0.81</v>
      </c>
      <c r="O746" s="2">
        <v>1</v>
      </c>
      <c r="P746" s="7">
        <v>0.81</v>
      </c>
      <c r="Q746" s="7">
        <v>0</v>
      </c>
      <c r="R746" s="7">
        <v>0.13</v>
      </c>
      <c r="S746" s="7">
        <v>0.39</v>
      </c>
      <c r="T746" s="7">
        <v>0.94</v>
      </c>
      <c r="U746">
        <v>10</v>
      </c>
      <c r="V746">
        <v>10</v>
      </c>
    </row>
    <row r="747" spans="1:22">
      <c r="A747">
        <v>743</v>
      </c>
      <c r="B747" s="4">
        <v>46298.181296296294</v>
      </c>
      <c r="C747" s="5">
        <v>46297</v>
      </c>
      <c r="D747" s="6">
        <v>2.1909606481481481</v>
      </c>
      <c r="E747" s="5">
        <v>46297</v>
      </c>
      <c r="F747" t="s">
        <v>164</v>
      </c>
      <c r="G747" t="s">
        <v>165</v>
      </c>
      <c r="H747" t="s">
        <v>26</v>
      </c>
      <c r="I747" t="s">
        <v>27</v>
      </c>
      <c r="J747" t="s">
        <v>27</v>
      </c>
      <c r="K747" t="s">
        <v>609</v>
      </c>
      <c r="L747" s="2" t="s">
        <v>218</v>
      </c>
      <c r="M747" s="8" t="s">
        <v>219</v>
      </c>
      <c r="N747" s="7">
        <v>1.63</v>
      </c>
      <c r="O747" s="2">
        <v>1</v>
      </c>
      <c r="P747" s="7">
        <v>1.63</v>
      </c>
      <c r="Q747" s="7">
        <v>0</v>
      </c>
      <c r="R747" s="7">
        <v>0.25</v>
      </c>
      <c r="S747" s="7">
        <v>1.57</v>
      </c>
      <c r="T747" s="7">
        <v>1.88</v>
      </c>
      <c r="U747">
        <v>10</v>
      </c>
      <c r="V747">
        <v>10</v>
      </c>
    </row>
    <row r="748" spans="1:22">
      <c r="A748">
        <v>744</v>
      </c>
      <c r="B748" s="4">
        <v>46298.181296296294</v>
      </c>
      <c r="C748" s="5">
        <v>46297</v>
      </c>
      <c r="D748" s="6">
        <v>2.1909606481481481</v>
      </c>
      <c r="E748" s="5">
        <v>46297</v>
      </c>
      <c r="F748" t="s">
        <v>164</v>
      </c>
      <c r="G748" t="s">
        <v>165</v>
      </c>
      <c r="H748" t="s">
        <v>26</v>
      </c>
      <c r="I748" t="s">
        <v>27</v>
      </c>
      <c r="J748" t="s">
        <v>27</v>
      </c>
      <c r="K748" t="s">
        <v>609</v>
      </c>
      <c r="L748" s="2" t="s">
        <v>557</v>
      </c>
      <c r="M748" s="8" t="s">
        <v>558</v>
      </c>
      <c r="N748" s="7">
        <v>2.71</v>
      </c>
      <c r="O748" s="2">
        <v>1</v>
      </c>
      <c r="P748" s="7">
        <v>2.71</v>
      </c>
      <c r="Q748" s="7">
        <v>0</v>
      </c>
      <c r="R748" s="7">
        <v>0.42</v>
      </c>
      <c r="S748" s="7">
        <v>0.81</v>
      </c>
      <c r="T748" s="7">
        <v>3.13</v>
      </c>
      <c r="U748">
        <v>10</v>
      </c>
      <c r="V748">
        <v>10</v>
      </c>
    </row>
    <row r="749" spans="1:22">
      <c r="A749">
        <v>745</v>
      </c>
      <c r="B749" s="4">
        <v>46298.181296296294</v>
      </c>
      <c r="C749" s="5">
        <v>46297</v>
      </c>
      <c r="D749" s="6">
        <v>2.1909722222222223</v>
      </c>
      <c r="E749" s="5">
        <v>46297</v>
      </c>
      <c r="F749" t="s">
        <v>164</v>
      </c>
      <c r="G749" t="s">
        <v>165</v>
      </c>
      <c r="H749" t="s">
        <v>26</v>
      </c>
      <c r="I749" t="s">
        <v>27</v>
      </c>
      <c r="J749" t="s">
        <v>27</v>
      </c>
      <c r="K749" t="s">
        <v>609</v>
      </c>
      <c r="L749" s="2" t="s">
        <v>229</v>
      </c>
      <c r="M749" s="8" t="s">
        <v>230</v>
      </c>
      <c r="N749" s="7">
        <v>0.81</v>
      </c>
      <c r="O749" s="2">
        <v>2</v>
      </c>
      <c r="P749" s="7">
        <v>1.62</v>
      </c>
      <c r="Q749" s="7">
        <v>0</v>
      </c>
      <c r="R749" s="7">
        <v>0.25</v>
      </c>
      <c r="S749" s="7">
        <v>1.57</v>
      </c>
      <c r="T749" s="7">
        <v>1.87</v>
      </c>
      <c r="U749">
        <v>10</v>
      </c>
      <c r="V749">
        <v>10</v>
      </c>
    </row>
    <row r="750" spans="1:22">
      <c r="A750">
        <v>746</v>
      </c>
      <c r="B750" s="4">
        <v>46298.181296296294</v>
      </c>
      <c r="C750" s="5">
        <v>46297</v>
      </c>
      <c r="D750" s="6">
        <v>2.1909722222222223</v>
      </c>
      <c r="E750" s="5">
        <v>46297</v>
      </c>
      <c r="F750" t="s">
        <v>164</v>
      </c>
      <c r="G750" t="s">
        <v>165</v>
      </c>
      <c r="H750" t="s">
        <v>26</v>
      </c>
      <c r="I750" t="s">
        <v>27</v>
      </c>
      <c r="J750" t="s">
        <v>27</v>
      </c>
      <c r="K750" t="s">
        <v>609</v>
      </c>
      <c r="L750" s="2" t="s">
        <v>579</v>
      </c>
      <c r="M750" s="8" t="s">
        <v>580</v>
      </c>
      <c r="N750" s="7">
        <v>0.94</v>
      </c>
      <c r="O750" s="2">
        <v>1</v>
      </c>
      <c r="P750" s="7">
        <v>0.94</v>
      </c>
      <c r="Q750" s="7">
        <v>0</v>
      </c>
      <c r="R750" s="7">
        <v>0</v>
      </c>
      <c r="S750" s="7">
        <v>0.42</v>
      </c>
      <c r="T750" s="7">
        <v>0.94</v>
      </c>
      <c r="U750">
        <v>10</v>
      </c>
      <c r="V750">
        <v>10</v>
      </c>
    </row>
    <row r="751" spans="1:22">
      <c r="A751">
        <v>747</v>
      </c>
      <c r="B751" s="4">
        <v>46298.181296296294</v>
      </c>
      <c r="C751" s="5">
        <v>46297</v>
      </c>
      <c r="D751" s="6">
        <v>2.1909722222222223</v>
      </c>
      <c r="E751" s="5">
        <v>46297</v>
      </c>
      <c r="F751" t="s">
        <v>164</v>
      </c>
      <c r="G751" t="s">
        <v>165</v>
      </c>
      <c r="H751" t="s">
        <v>26</v>
      </c>
      <c r="I751" t="s">
        <v>27</v>
      </c>
      <c r="J751" t="s">
        <v>27</v>
      </c>
      <c r="K751" t="s">
        <v>609</v>
      </c>
      <c r="L751" s="2" t="s">
        <v>29</v>
      </c>
      <c r="M751" s="8" t="s">
        <v>30</v>
      </c>
      <c r="N751" s="7">
        <v>0.81</v>
      </c>
      <c r="O751" s="2">
        <v>1</v>
      </c>
      <c r="P751" s="7">
        <v>0.81</v>
      </c>
      <c r="Q751" s="7">
        <v>0</v>
      </c>
      <c r="R751" s="7">
        <v>0.13</v>
      </c>
      <c r="S751" s="7">
        <v>0.43</v>
      </c>
      <c r="T751" s="7">
        <v>0.94</v>
      </c>
      <c r="U751">
        <v>10</v>
      </c>
      <c r="V751">
        <v>10</v>
      </c>
    </row>
    <row r="752" spans="1:22">
      <c r="A752">
        <v>748</v>
      </c>
      <c r="B752" s="4">
        <v>46298.181296296294</v>
      </c>
      <c r="C752" s="5">
        <v>46297</v>
      </c>
      <c r="D752" s="6">
        <v>2.1909722222222223</v>
      </c>
      <c r="E752" s="5">
        <v>46297</v>
      </c>
      <c r="F752" t="s">
        <v>164</v>
      </c>
      <c r="G752" t="s">
        <v>165</v>
      </c>
      <c r="H752" t="s">
        <v>26</v>
      </c>
      <c r="I752" t="s">
        <v>27</v>
      </c>
      <c r="J752" t="s">
        <v>27</v>
      </c>
      <c r="K752" t="s">
        <v>609</v>
      </c>
      <c r="L752" s="2" t="s">
        <v>579</v>
      </c>
      <c r="M752" s="8" t="s">
        <v>580</v>
      </c>
      <c r="N752" s="7">
        <v>0.94</v>
      </c>
      <c r="O752" s="2">
        <v>2</v>
      </c>
      <c r="P752" s="7">
        <v>1.88</v>
      </c>
      <c r="Q752" s="7">
        <v>0</v>
      </c>
      <c r="R752" s="7">
        <v>0</v>
      </c>
      <c r="S752" s="7">
        <v>0.84</v>
      </c>
      <c r="T752" s="7">
        <v>1.88</v>
      </c>
      <c r="U752">
        <v>10</v>
      </c>
      <c r="V752">
        <v>10</v>
      </c>
    </row>
    <row r="753" spans="1:22">
      <c r="A753">
        <v>749</v>
      </c>
      <c r="B753" s="4">
        <v>46298.181296296294</v>
      </c>
      <c r="C753" s="5">
        <v>46297</v>
      </c>
      <c r="D753" s="6">
        <v>2.1909722222222223</v>
      </c>
      <c r="E753" s="5">
        <v>46297</v>
      </c>
      <c r="F753" t="s">
        <v>164</v>
      </c>
      <c r="G753" t="s">
        <v>165</v>
      </c>
      <c r="H753" t="s">
        <v>26</v>
      </c>
      <c r="I753" t="s">
        <v>27</v>
      </c>
      <c r="J753" t="s">
        <v>27</v>
      </c>
      <c r="K753" t="s">
        <v>609</v>
      </c>
      <c r="L753" s="2" t="s">
        <v>63</v>
      </c>
      <c r="M753" s="8" t="s">
        <v>64</v>
      </c>
      <c r="N753" s="7">
        <v>1.9</v>
      </c>
      <c r="O753" s="2">
        <v>1</v>
      </c>
      <c r="P753" s="7">
        <v>1.9</v>
      </c>
      <c r="Q753" s="7">
        <v>0</v>
      </c>
      <c r="R753" s="7">
        <v>0.28999999999999998</v>
      </c>
      <c r="S753" s="7">
        <v>1.83</v>
      </c>
      <c r="T753" s="7">
        <v>2.19</v>
      </c>
      <c r="U753">
        <v>11</v>
      </c>
      <c r="V753">
        <v>11</v>
      </c>
    </row>
    <row r="754" spans="1:22">
      <c r="A754">
        <v>750</v>
      </c>
      <c r="B754" s="4">
        <v>46298.192824074074</v>
      </c>
      <c r="C754" s="5">
        <v>46297</v>
      </c>
      <c r="D754" s="6">
        <v>2.1928125000000001</v>
      </c>
      <c r="E754" s="5">
        <v>46297</v>
      </c>
      <c r="F754" t="s">
        <v>164</v>
      </c>
      <c r="G754" t="s">
        <v>165</v>
      </c>
      <c r="H754" t="s">
        <v>26</v>
      </c>
      <c r="I754" t="s">
        <v>27</v>
      </c>
      <c r="J754" t="s">
        <v>27</v>
      </c>
      <c r="K754" t="s">
        <v>610</v>
      </c>
      <c r="L754" s="2" t="s">
        <v>561</v>
      </c>
      <c r="M754" s="8" t="s">
        <v>562</v>
      </c>
      <c r="N754" s="7">
        <v>1.9</v>
      </c>
      <c r="O754" s="2">
        <v>1</v>
      </c>
      <c r="P754" s="7">
        <v>1.9</v>
      </c>
      <c r="Q754" s="7">
        <v>0</v>
      </c>
      <c r="R754" s="7">
        <v>0.28999999999999998</v>
      </c>
      <c r="S754" s="7">
        <v>0.5</v>
      </c>
      <c r="T754" s="7">
        <v>2.19</v>
      </c>
      <c r="U754">
        <v>11</v>
      </c>
      <c r="V754">
        <v>11</v>
      </c>
    </row>
    <row r="755" spans="1:22">
      <c r="A755">
        <v>751</v>
      </c>
      <c r="B755" s="4">
        <v>46298.192824074074</v>
      </c>
      <c r="C755" s="5">
        <v>46297</v>
      </c>
      <c r="D755" s="6">
        <v>2.1929166666666666</v>
      </c>
      <c r="E755" s="5">
        <v>46297</v>
      </c>
      <c r="F755" t="s">
        <v>164</v>
      </c>
      <c r="G755" t="s">
        <v>165</v>
      </c>
      <c r="H755" t="s">
        <v>26</v>
      </c>
      <c r="I755" t="s">
        <v>27</v>
      </c>
      <c r="J755" t="s">
        <v>27</v>
      </c>
      <c r="K755" t="s">
        <v>610</v>
      </c>
      <c r="L755" s="2" t="s">
        <v>35</v>
      </c>
      <c r="M755" s="8" t="s">
        <v>36</v>
      </c>
      <c r="N755" s="7">
        <v>0.81</v>
      </c>
      <c r="O755" s="2">
        <v>1</v>
      </c>
      <c r="P755" s="7">
        <v>0.81</v>
      </c>
      <c r="Q755" s="7">
        <v>0</v>
      </c>
      <c r="R755" s="7">
        <v>0.13</v>
      </c>
      <c r="S755" s="7">
        <v>0.38</v>
      </c>
      <c r="T755" s="7">
        <v>0.94</v>
      </c>
      <c r="U755">
        <v>11</v>
      </c>
      <c r="V755">
        <v>11</v>
      </c>
    </row>
    <row r="756" spans="1:22">
      <c r="A756">
        <v>752</v>
      </c>
      <c r="B756" s="4">
        <v>46298.192824074074</v>
      </c>
      <c r="C756" s="5">
        <v>46297</v>
      </c>
      <c r="D756" s="6">
        <v>2.1930787037037036</v>
      </c>
      <c r="E756" s="5">
        <v>46297</v>
      </c>
      <c r="F756" t="s">
        <v>164</v>
      </c>
      <c r="G756" t="s">
        <v>165</v>
      </c>
      <c r="H756" t="s">
        <v>26</v>
      </c>
      <c r="I756" t="s">
        <v>27</v>
      </c>
      <c r="J756" t="s">
        <v>27</v>
      </c>
      <c r="K756" t="s">
        <v>610</v>
      </c>
      <c r="L756" s="2" t="s">
        <v>388</v>
      </c>
      <c r="M756" s="8" t="s">
        <v>389</v>
      </c>
      <c r="N756" s="7">
        <v>1.9</v>
      </c>
      <c r="O756" s="2">
        <v>1</v>
      </c>
      <c r="P756" s="7">
        <v>1.9</v>
      </c>
      <c r="Q756" s="7">
        <v>0</v>
      </c>
      <c r="R756" s="7">
        <v>0.28999999999999998</v>
      </c>
      <c r="S756" s="7">
        <v>1.83</v>
      </c>
      <c r="T756" s="7">
        <v>2.19</v>
      </c>
      <c r="U756">
        <v>11</v>
      </c>
      <c r="V756">
        <v>11</v>
      </c>
    </row>
    <row r="757" spans="1:22">
      <c r="A757">
        <v>753</v>
      </c>
      <c r="B757" s="4">
        <v>46298.205833333333</v>
      </c>
      <c r="C757" s="5">
        <v>46297</v>
      </c>
      <c r="D757" s="6">
        <v>2.2058333333333335</v>
      </c>
      <c r="E757" s="5">
        <v>46297</v>
      </c>
      <c r="F757" t="s">
        <v>164</v>
      </c>
      <c r="G757" t="s">
        <v>165</v>
      </c>
      <c r="H757" t="s">
        <v>26</v>
      </c>
      <c r="I757" t="s">
        <v>27</v>
      </c>
      <c r="J757" t="s">
        <v>27</v>
      </c>
      <c r="K757" t="s">
        <v>611</v>
      </c>
      <c r="L757" s="2" t="s">
        <v>229</v>
      </c>
      <c r="M757" s="8" t="s">
        <v>230</v>
      </c>
      <c r="N757" s="7">
        <v>0.81</v>
      </c>
      <c r="O757" s="2">
        <v>3</v>
      </c>
      <c r="P757" s="7">
        <v>2.4300000000000002</v>
      </c>
      <c r="Q757" s="7">
        <v>0</v>
      </c>
      <c r="R757" s="7">
        <v>0.38</v>
      </c>
      <c r="S757" s="7">
        <v>2.36</v>
      </c>
      <c r="T757" s="7">
        <v>2.81</v>
      </c>
      <c r="U757">
        <v>11</v>
      </c>
      <c r="V757">
        <v>11</v>
      </c>
    </row>
    <row r="758" spans="1:22">
      <c r="A758">
        <v>754</v>
      </c>
      <c r="B758" s="4">
        <v>46298.205833333333</v>
      </c>
      <c r="C758" s="5">
        <v>46297</v>
      </c>
      <c r="D758" s="6">
        <v>2.2062499999999998</v>
      </c>
      <c r="E758" s="5">
        <v>46297</v>
      </c>
      <c r="F758" t="s">
        <v>164</v>
      </c>
      <c r="G758" t="s">
        <v>165</v>
      </c>
      <c r="H758" t="s">
        <v>26</v>
      </c>
      <c r="I758" t="s">
        <v>27</v>
      </c>
      <c r="J758" t="s">
        <v>27</v>
      </c>
      <c r="K758" t="s">
        <v>611</v>
      </c>
      <c r="L758" s="2" t="s">
        <v>612</v>
      </c>
      <c r="M758" s="8" t="s">
        <v>613</v>
      </c>
      <c r="N758" s="7">
        <v>0.81</v>
      </c>
      <c r="O758" s="2">
        <v>2</v>
      </c>
      <c r="P758" s="7">
        <v>1.62</v>
      </c>
      <c r="Q758" s="7">
        <v>0</v>
      </c>
      <c r="R758" s="7">
        <v>0.25</v>
      </c>
      <c r="S758" s="7">
        <v>1.56</v>
      </c>
      <c r="T758" s="7">
        <v>1.87</v>
      </c>
      <c r="U758">
        <v>11</v>
      </c>
      <c r="V758">
        <v>11</v>
      </c>
    </row>
    <row r="759" spans="1:22">
      <c r="A759">
        <v>755</v>
      </c>
      <c r="B759" s="4">
        <v>46298.21675925926</v>
      </c>
      <c r="C759" s="5">
        <v>46297</v>
      </c>
      <c r="D759" s="6">
        <v>2.2167592592592591</v>
      </c>
      <c r="E759" s="5">
        <v>46297</v>
      </c>
      <c r="F759" t="s">
        <v>164</v>
      </c>
      <c r="G759" t="s">
        <v>165</v>
      </c>
      <c r="H759" t="s">
        <v>26</v>
      </c>
      <c r="I759" t="s">
        <v>27</v>
      </c>
      <c r="J759" t="s">
        <v>27</v>
      </c>
      <c r="K759" t="s">
        <v>614</v>
      </c>
      <c r="L759" s="2" t="s">
        <v>615</v>
      </c>
      <c r="M759" s="8" t="s">
        <v>616</v>
      </c>
      <c r="N759" s="7">
        <v>1.9</v>
      </c>
      <c r="O759" s="2">
        <v>1</v>
      </c>
      <c r="P759" s="7">
        <v>1.9</v>
      </c>
      <c r="Q759" s="7">
        <v>0</v>
      </c>
      <c r="R759" s="7">
        <v>0.28999999999999998</v>
      </c>
      <c r="S759" s="7">
        <v>0.79</v>
      </c>
      <c r="T759" s="7">
        <v>2.19</v>
      </c>
      <c r="U759">
        <v>11</v>
      </c>
      <c r="V759">
        <v>11</v>
      </c>
    </row>
    <row r="760" spans="1:22">
      <c r="A760">
        <v>756</v>
      </c>
      <c r="B760" s="4">
        <v>46298.237858796296</v>
      </c>
      <c r="C760" s="5">
        <v>46297</v>
      </c>
      <c r="D760" s="6">
        <v>2.2378472222222223</v>
      </c>
      <c r="E760" s="5">
        <v>46297</v>
      </c>
      <c r="F760" t="s">
        <v>164</v>
      </c>
      <c r="G760" t="s">
        <v>165</v>
      </c>
      <c r="H760" t="s">
        <v>26</v>
      </c>
      <c r="I760" t="s">
        <v>27</v>
      </c>
      <c r="J760" t="s">
        <v>27</v>
      </c>
      <c r="K760" t="s">
        <v>617</v>
      </c>
      <c r="L760" s="2" t="s">
        <v>29</v>
      </c>
      <c r="M760" s="8" t="s">
        <v>30</v>
      </c>
      <c r="N760" s="7">
        <v>0.81</v>
      </c>
      <c r="O760" s="2">
        <v>1</v>
      </c>
      <c r="P760" s="7">
        <v>0.81</v>
      </c>
      <c r="Q760" s="7">
        <v>0</v>
      </c>
      <c r="R760" s="7">
        <v>0.13</v>
      </c>
      <c r="S760" s="7">
        <v>0.43</v>
      </c>
      <c r="T760" s="7">
        <v>0.94</v>
      </c>
      <c r="U760">
        <v>11</v>
      </c>
      <c r="V760">
        <v>11</v>
      </c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tabSelected="1" topLeftCell="A229" workbookViewId="0">
      <selection activeCell="E242" sqref="E242"/>
    </sheetView>
  </sheetViews>
  <sheetFormatPr defaultRowHeight="14.25"/>
  <cols>
    <col min="1" max="1" width="12" customWidth="1"/>
    <col min="2" max="2" width="11" customWidth="1"/>
    <col min="3" max="3" width="38" customWidth="1"/>
    <col min="4" max="4" width="8" customWidth="1"/>
    <col min="5" max="5" width="14" customWidth="1"/>
    <col min="6" max="6" width="11" customWidth="1"/>
    <col min="7" max="8" width="9" customWidth="1"/>
    <col min="9" max="10" width="12" customWidth="1"/>
  </cols>
  <sheetData>
    <row r="1" spans="1:10" ht="15">
      <c r="A1" s="12" t="s">
        <v>618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3" t="s">
        <v>619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30">
      <c r="A4" s="1" t="s">
        <v>620</v>
      </c>
      <c r="B4" s="1" t="s">
        <v>621</v>
      </c>
    </row>
    <row r="5" spans="1:10">
      <c r="A5" t="s">
        <v>622</v>
      </c>
      <c r="B5" s="2">
        <v>543</v>
      </c>
    </row>
    <row r="6" spans="1:10">
      <c r="A6" t="s">
        <v>623</v>
      </c>
      <c r="B6" s="2">
        <v>837</v>
      </c>
    </row>
    <row r="7" spans="1:10">
      <c r="A7" t="s">
        <v>624</v>
      </c>
      <c r="B7" s="7">
        <v>708.38</v>
      </c>
    </row>
    <row r="8" spans="1:10">
      <c r="A8" t="s">
        <v>625</v>
      </c>
      <c r="B8" s="7">
        <v>803.37</v>
      </c>
    </row>
    <row r="10" spans="1:10" ht="15">
      <c r="A10" s="1" t="s">
        <v>6</v>
      </c>
      <c r="B10" s="1" t="s">
        <v>7</v>
      </c>
      <c r="C10" s="1" t="s">
        <v>14</v>
      </c>
      <c r="D10" s="1" t="s">
        <v>16</v>
      </c>
      <c r="E10" s="1" t="s">
        <v>626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627</v>
      </c>
    </row>
    <row r="11" spans="1:10">
      <c r="A11" s="5">
        <v>46294</v>
      </c>
      <c r="B11" t="s">
        <v>24</v>
      </c>
      <c r="C11" s="8" t="s">
        <v>51</v>
      </c>
      <c r="D11" s="2">
        <v>7</v>
      </c>
      <c r="E11" s="7">
        <f t="shared" ref="E11:E74" si="0">IFERROR(F11/D11,0)</f>
        <v>0.43</v>
      </c>
      <c r="F11" s="7">
        <v>3.01</v>
      </c>
      <c r="G11" s="7">
        <v>0</v>
      </c>
      <c r="H11" s="7">
        <v>0.48</v>
      </c>
      <c r="I11" s="7">
        <v>2.87</v>
      </c>
      <c r="J11" s="7">
        <v>3.49</v>
      </c>
    </row>
    <row r="12" spans="1:10">
      <c r="A12" s="5">
        <v>46294</v>
      </c>
      <c r="B12" t="s">
        <v>24</v>
      </c>
      <c r="C12" s="8" t="s">
        <v>152</v>
      </c>
      <c r="D12" s="2">
        <v>1</v>
      </c>
      <c r="E12" s="7">
        <f t="shared" si="0"/>
        <v>0.27</v>
      </c>
      <c r="F12" s="7">
        <v>0.27</v>
      </c>
      <c r="G12" s="7">
        <v>0</v>
      </c>
      <c r="H12" s="7">
        <v>0.04</v>
      </c>
      <c r="I12" s="7">
        <v>0.14000000000000001</v>
      </c>
      <c r="J12" s="7">
        <v>0.31</v>
      </c>
    </row>
    <row r="13" spans="1:10">
      <c r="A13" s="5">
        <v>46294</v>
      </c>
      <c r="B13" t="s">
        <v>24</v>
      </c>
      <c r="C13" s="8" t="s">
        <v>39</v>
      </c>
      <c r="D13" s="2">
        <v>29</v>
      </c>
      <c r="E13" s="7">
        <f t="shared" si="0"/>
        <v>0.03</v>
      </c>
      <c r="F13" s="7">
        <v>0.87</v>
      </c>
      <c r="G13" s="7">
        <v>0</v>
      </c>
      <c r="H13" s="7">
        <v>0.12</v>
      </c>
      <c r="I13" s="7">
        <v>0.28999999999999998</v>
      </c>
      <c r="J13" s="7">
        <v>0.99</v>
      </c>
    </row>
    <row r="14" spans="1:10">
      <c r="A14" s="5">
        <v>46294</v>
      </c>
      <c r="B14" t="s">
        <v>24</v>
      </c>
      <c r="C14" s="8" t="s">
        <v>147</v>
      </c>
      <c r="D14" s="2">
        <v>2</v>
      </c>
      <c r="E14" s="7">
        <f t="shared" si="0"/>
        <v>2.16</v>
      </c>
      <c r="F14" s="7">
        <v>4.32</v>
      </c>
      <c r="G14" s="7">
        <v>0</v>
      </c>
      <c r="H14" s="7">
        <v>0.68</v>
      </c>
      <c r="I14" s="7">
        <v>4.18</v>
      </c>
      <c r="J14" s="7">
        <v>5</v>
      </c>
    </row>
    <row r="15" spans="1:10">
      <c r="A15" s="5">
        <v>46294</v>
      </c>
      <c r="B15" t="s">
        <v>24</v>
      </c>
      <c r="C15" s="8" t="s">
        <v>36</v>
      </c>
      <c r="D15" s="2">
        <v>5</v>
      </c>
      <c r="E15" s="7">
        <f t="shared" si="0"/>
        <v>0.80999999999999994</v>
      </c>
      <c r="F15" s="7">
        <v>4.05</v>
      </c>
      <c r="G15" s="7">
        <v>0</v>
      </c>
      <c r="H15" s="7">
        <v>0.65</v>
      </c>
      <c r="I15" s="7">
        <v>1.9</v>
      </c>
      <c r="J15" s="7">
        <v>4.7</v>
      </c>
    </row>
    <row r="16" spans="1:10">
      <c r="A16" s="5">
        <v>46294</v>
      </c>
      <c r="B16" t="s">
        <v>24</v>
      </c>
      <c r="C16" s="8" t="s">
        <v>64</v>
      </c>
      <c r="D16" s="2">
        <v>7</v>
      </c>
      <c r="E16" s="7">
        <f t="shared" si="0"/>
        <v>1.9000000000000001</v>
      </c>
      <c r="F16" s="7">
        <v>13.3</v>
      </c>
      <c r="G16" s="7">
        <v>0</v>
      </c>
      <c r="H16" s="7">
        <v>2.0499999999999998</v>
      </c>
      <c r="I16" s="7">
        <v>12.81</v>
      </c>
      <c r="J16" s="7">
        <v>15.35</v>
      </c>
    </row>
    <row r="17" spans="1:10">
      <c r="A17" s="5">
        <v>46294</v>
      </c>
      <c r="B17" t="s">
        <v>24</v>
      </c>
      <c r="C17" s="8" t="s">
        <v>42</v>
      </c>
      <c r="D17" s="2">
        <v>1</v>
      </c>
      <c r="E17" s="7">
        <f t="shared" si="0"/>
        <v>4.87</v>
      </c>
      <c r="F17" s="7">
        <v>4.87</v>
      </c>
      <c r="G17" s="7">
        <v>0</v>
      </c>
      <c r="H17" s="7">
        <v>0.76</v>
      </c>
      <c r="I17" s="7">
        <v>1</v>
      </c>
      <c r="J17" s="7">
        <v>5.63</v>
      </c>
    </row>
    <row r="18" spans="1:10">
      <c r="A18" s="5">
        <v>46294</v>
      </c>
      <c r="B18" t="s">
        <v>24</v>
      </c>
      <c r="C18" s="8" t="s">
        <v>99</v>
      </c>
      <c r="D18" s="2">
        <v>1</v>
      </c>
      <c r="E18" s="7">
        <f t="shared" si="0"/>
        <v>0.81</v>
      </c>
      <c r="F18" s="7">
        <v>0.81</v>
      </c>
      <c r="G18" s="7">
        <v>0</v>
      </c>
      <c r="H18" s="7">
        <v>0.13</v>
      </c>
      <c r="I18" s="7">
        <v>0.79</v>
      </c>
      <c r="J18" s="7">
        <v>0.94</v>
      </c>
    </row>
    <row r="19" spans="1:10">
      <c r="A19" s="5">
        <v>46294</v>
      </c>
      <c r="B19" t="s">
        <v>24</v>
      </c>
      <c r="C19" s="8" t="s">
        <v>121</v>
      </c>
      <c r="D19" s="2">
        <v>1</v>
      </c>
      <c r="E19" s="7">
        <f t="shared" si="0"/>
        <v>0.81</v>
      </c>
      <c r="F19" s="7">
        <v>0.81</v>
      </c>
      <c r="G19" s="7">
        <v>0</v>
      </c>
      <c r="H19" s="7">
        <v>0.13</v>
      </c>
      <c r="I19" s="7">
        <v>0.79</v>
      </c>
      <c r="J19" s="7">
        <v>0.94</v>
      </c>
    </row>
    <row r="20" spans="1:10">
      <c r="A20" s="5">
        <v>46294</v>
      </c>
      <c r="B20" t="s">
        <v>24</v>
      </c>
      <c r="C20" s="8" t="s">
        <v>161</v>
      </c>
      <c r="D20" s="2">
        <v>1</v>
      </c>
      <c r="E20" s="7">
        <f t="shared" si="0"/>
        <v>2.16</v>
      </c>
      <c r="F20" s="7">
        <v>2.16</v>
      </c>
      <c r="G20" s="7">
        <v>0</v>
      </c>
      <c r="H20" s="7">
        <v>0.34</v>
      </c>
      <c r="I20" s="7">
        <v>2.08</v>
      </c>
      <c r="J20" s="7">
        <v>2.5</v>
      </c>
    </row>
    <row r="21" spans="1:10">
      <c r="A21" s="5">
        <v>46294</v>
      </c>
      <c r="B21" t="s">
        <v>24</v>
      </c>
      <c r="C21" s="8" t="s">
        <v>110</v>
      </c>
      <c r="D21" s="2">
        <v>7</v>
      </c>
      <c r="E21" s="7">
        <f t="shared" si="0"/>
        <v>1.0799999999999998</v>
      </c>
      <c r="F21" s="7">
        <v>7.56</v>
      </c>
      <c r="G21" s="7">
        <v>0</v>
      </c>
      <c r="H21" s="7">
        <v>1.18</v>
      </c>
      <c r="I21" s="7">
        <v>1.8</v>
      </c>
      <c r="J21" s="7">
        <v>8.74</v>
      </c>
    </row>
    <row r="22" spans="1:10">
      <c r="A22" s="5">
        <v>46294</v>
      </c>
      <c r="B22" t="s">
        <v>24</v>
      </c>
      <c r="C22" s="8" t="s">
        <v>89</v>
      </c>
      <c r="D22" s="2">
        <v>5</v>
      </c>
      <c r="E22" s="7">
        <f t="shared" si="0"/>
        <v>0.80999999999999994</v>
      </c>
      <c r="F22" s="7">
        <v>4.05</v>
      </c>
      <c r="G22" s="7">
        <v>0</v>
      </c>
      <c r="H22" s="7">
        <v>0.63</v>
      </c>
      <c r="I22" s="7">
        <v>3.93</v>
      </c>
      <c r="J22" s="7">
        <v>4.68</v>
      </c>
    </row>
    <row r="23" spans="1:10">
      <c r="A23" s="5">
        <v>46294</v>
      </c>
      <c r="B23" t="s">
        <v>24</v>
      </c>
      <c r="C23" s="8" t="s">
        <v>101</v>
      </c>
      <c r="D23" s="2">
        <v>1</v>
      </c>
      <c r="E23" s="7">
        <f t="shared" si="0"/>
        <v>0.81</v>
      </c>
      <c r="F23" s="7">
        <v>0.81</v>
      </c>
      <c r="G23" s="7">
        <v>0</v>
      </c>
      <c r="H23" s="7">
        <v>0.13</v>
      </c>
      <c r="I23" s="7">
        <v>0.39</v>
      </c>
      <c r="J23" s="7">
        <v>0.94</v>
      </c>
    </row>
    <row r="24" spans="1:10">
      <c r="A24" s="5">
        <v>46294</v>
      </c>
      <c r="B24" t="s">
        <v>24</v>
      </c>
      <c r="C24" s="8" t="s">
        <v>95</v>
      </c>
      <c r="D24" s="2">
        <v>1</v>
      </c>
      <c r="E24" s="7">
        <f t="shared" si="0"/>
        <v>1.63</v>
      </c>
      <c r="F24" s="7">
        <v>1.63</v>
      </c>
      <c r="G24" s="7">
        <v>0</v>
      </c>
      <c r="H24" s="7">
        <v>0.25</v>
      </c>
      <c r="I24" s="7">
        <v>0.73</v>
      </c>
      <c r="J24" s="7">
        <v>1.88</v>
      </c>
    </row>
    <row r="25" spans="1:10">
      <c r="A25" s="5">
        <v>46294</v>
      </c>
      <c r="B25" t="s">
        <v>24</v>
      </c>
      <c r="C25" s="8" t="s">
        <v>144</v>
      </c>
      <c r="D25" s="2">
        <v>6</v>
      </c>
      <c r="E25" s="7">
        <f t="shared" si="0"/>
        <v>1.25</v>
      </c>
      <c r="F25" s="7">
        <v>7.5</v>
      </c>
      <c r="G25" s="7">
        <v>0</v>
      </c>
      <c r="H25" s="7">
        <v>0</v>
      </c>
      <c r="I25" s="7">
        <v>7.24</v>
      </c>
      <c r="J25" s="7">
        <v>7.5</v>
      </c>
    </row>
    <row r="26" spans="1:10">
      <c r="A26" s="5">
        <v>46294</v>
      </c>
      <c r="B26" t="s">
        <v>24</v>
      </c>
      <c r="C26" s="8" t="s">
        <v>150</v>
      </c>
      <c r="D26" s="2">
        <v>2</v>
      </c>
      <c r="E26" s="7">
        <f t="shared" si="0"/>
        <v>0.55000000000000004</v>
      </c>
      <c r="F26" s="7">
        <v>1.1000000000000001</v>
      </c>
      <c r="G26" s="7">
        <v>0</v>
      </c>
      <c r="H26" s="7">
        <v>0.17</v>
      </c>
      <c r="I26" s="7">
        <v>1.07</v>
      </c>
      <c r="J26" s="7">
        <v>1.27</v>
      </c>
    </row>
    <row r="27" spans="1:10">
      <c r="A27" s="5">
        <v>46294</v>
      </c>
      <c r="B27" t="s">
        <v>24</v>
      </c>
      <c r="C27" s="8" t="s">
        <v>163</v>
      </c>
      <c r="D27" s="2">
        <v>2</v>
      </c>
      <c r="E27" s="7">
        <f t="shared" si="0"/>
        <v>1.63</v>
      </c>
      <c r="F27" s="7">
        <v>3.26</v>
      </c>
      <c r="G27" s="7">
        <v>0</v>
      </c>
      <c r="H27" s="7">
        <v>0.5</v>
      </c>
      <c r="I27" s="7">
        <v>3.14</v>
      </c>
      <c r="J27" s="7">
        <v>3.76</v>
      </c>
    </row>
    <row r="28" spans="1:10">
      <c r="A28" s="5">
        <v>46294</v>
      </c>
      <c r="B28" t="s">
        <v>24</v>
      </c>
      <c r="C28" s="8" t="s">
        <v>72</v>
      </c>
      <c r="D28" s="2">
        <v>1</v>
      </c>
      <c r="E28" s="7">
        <f t="shared" si="0"/>
        <v>1.63</v>
      </c>
      <c r="F28" s="7">
        <v>1.63</v>
      </c>
      <c r="G28" s="7">
        <v>0</v>
      </c>
      <c r="H28" s="7">
        <v>0.25</v>
      </c>
      <c r="I28" s="7">
        <v>1.57</v>
      </c>
      <c r="J28" s="7">
        <v>1.88</v>
      </c>
    </row>
    <row r="29" spans="1:10">
      <c r="A29" s="5">
        <v>46294</v>
      </c>
      <c r="B29" t="s">
        <v>24</v>
      </c>
      <c r="C29" s="8" t="s">
        <v>91</v>
      </c>
      <c r="D29" s="2">
        <v>2</v>
      </c>
      <c r="E29" s="7">
        <f t="shared" si="0"/>
        <v>1.08</v>
      </c>
      <c r="F29" s="7">
        <v>2.16</v>
      </c>
      <c r="G29" s="7">
        <v>0</v>
      </c>
      <c r="H29" s="7">
        <v>0.34</v>
      </c>
      <c r="I29" s="7">
        <v>2.08</v>
      </c>
      <c r="J29" s="7">
        <v>2.5</v>
      </c>
    </row>
    <row r="30" spans="1:10">
      <c r="A30" s="5">
        <v>46294</v>
      </c>
      <c r="B30" t="s">
        <v>24</v>
      </c>
      <c r="C30" s="8" t="s">
        <v>85</v>
      </c>
      <c r="D30" s="2">
        <v>1</v>
      </c>
      <c r="E30" s="7">
        <f t="shared" si="0"/>
        <v>1.35</v>
      </c>
      <c r="F30" s="7">
        <v>1.35</v>
      </c>
      <c r="G30" s="7">
        <v>0</v>
      </c>
      <c r="H30" s="7">
        <v>0.21</v>
      </c>
      <c r="I30" s="7">
        <v>1.3</v>
      </c>
      <c r="J30" s="7">
        <v>1.56</v>
      </c>
    </row>
    <row r="31" spans="1:10">
      <c r="A31" s="5">
        <v>46294</v>
      </c>
      <c r="B31" t="s">
        <v>24</v>
      </c>
      <c r="C31" s="8" t="s">
        <v>46</v>
      </c>
      <c r="D31" s="2">
        <v>1</v>
      </c>
      <c r="E31" s="7">
        <f t="shared" si="0"/>
        <v>0.75</v>
      </c>
      <c r="F31" s="7">
        <v>0.75</v>
      </c>
      <c r="G31" s="7">
        <v>0</v>
      </c>
      <c r="H31" s="7">
        <v>0</v>
      </c>
      <c r="I31" s="7">
        <v>0.34</v>
      </c>
      <c r="J31" s="7">
        <v>0.75</v>
      </c>
    </row>
    <row r="32" spans="1:10">
      <c r="A32" s="5">
        <v>46294</v>
      </c>
      <c r="B32" t="s">
        <v>24</v>
      </c>
      <c r="C32" s="8" t="s">
        <v>57</v>
      </c>
      <c r="D32" s="2">
        <v>11</v>
      </c>
      <c r="E32" s="7">
        <f t="shared" si="0"/>
        <v>0.27</v>
      </c>
      <c r="F32" s="7">
        <v>2.97</v>
      </c>
      <c r="G32" s="7">
        <v>0</v>
      </c>
      <c r="H32" s="7">
        <v>0.45</v>
      </c>
      <c r="I32" s="7">
        <v>2.08</v>
      </c>
      <c r="J32" s="7">
        <v>3.42</v>
      </c>
    </row>
    <row r="33" spans="1:10">
      <c r="A33" s="5">
        <v>46294</v>
      </c>
      <c r="B33" t="s">
        <v>24</v>
      </c>
      <c r="C33" s="8" t="s">
        <v>141</v>
      </c>
      <c r="D33" s="2">
        <v>2</v>
      </c>
      <c r="E33" s="7">
        <f t="shared" si="0"/>
        <v>0.55000000000000004</v>
      </c>
      <c r="F33" s="7">
        <v>1.1000000000000001</v>
      </c>
      <c r="G33" s="7">
        <v>0</v>
      </c>
      <c r="H33" s="7">
        <v>0.16</v>
      </c>
      <c r="I33" s="7">
        <v>1.06</v>
      </c>
      <c r="J33" s="7">
        <v>1.26</v>
      </c>
    </row>
    <row r="34" spans="1:10">
      <c r="A34" s="5">
        <v>46294</v>
      </c>
      <c r="B34" t="s">
        <v>24</v>
      </c>
      <c r="C34" s="8" t="s">
        <v>158</v>
      </c>
      <c r="D34" s="2">
        <v>4</v>
      </c>
      <c r="E34" s="7">
        <f t="shared" si="0"/>
        <v>0.55000000000000004</v>
      </c>
      <c r="F34" s="7">
        <v>2.2000000000000002</v>
      </c>
      <c r="G34" s="7">
        <v>0</v>
      </c>
      <c r="H34" s="7">
        <v>0.34</v>
      </c>
      <c r="I34" s="7">
        <v>2.12</v>
      </c>
      <c r="J34" s="7">
        <v>2.54</v>
      </c>
    </row>
    <row r="35" spans="1:10">
      <c r="A35" s="5">
        <v>46294</v>
      </c>
      <c r="B35" t="s">
        <v>24</v>
      </c>
      <c r="C35" s="8" t="s">
        <v>69</v>
      </c>
      <c r="D35" s="2">
        <v>1</v>
      </c>
      <c r="E35" s="7">
        <f t="shared" si="0"/>
        <v>1.63</v>
      </c>
      <c r="F35" s="7">
        <v>1.63</v>
      </c>
      <c r="G35" s="7">
        <v>0</v>
      </c>
      <c r="H35" s="7">
        <v>0.25</v>
      </c>
      <c r="I35" s="7">
        <v>0.17</v>
      </c>
      <c r="J35" s="7">
        <v>1.88</v>
      </c>
    </row>
    <row r="36" spans="1:10">
      <c r="A36" s="5">
        <v>46294</v>
      </c>
      <c r="B36" t="s">
        <v>24</v>
      </c>
      <c r="C36" s="8" t="s">
        <v>97</v>
      </c>
      <c r="D36" s="2">
        <v>2</v>
      </c>
      <c r="E36" s="7">
        <f t="shared" si="0"/>
        <v>1.63</v>
      </c>
      <c r="F36" s="7">
        <v>3.26</v>
      </c>
      <c r="G36" s="7">
        <v>0</v>
      </c>
      <c r="H36" s="7">
        <v>0.5</v>
      </c>
      <c r="I36" s="7">
        <v>3.12</v>
      </c>
      <c r="J36" s="7">
        <v>3.76</v>
      </c>
    </row>
    <row r="37" spans="1:10">
      <c r="A37" s="5">
        <v>46294</v>
      </c>
      <c r="B37" t="s">
        <v>24</v>
      </c>
      <c r="C37" s="8" t="s">
        <v>104</v>
      </c>
      <c r="D37" s="2">
        <v>1</v>
      </c>
      <c r="E37" s="7">
        <f t="shared" si="0"/>
        <v>1.35</v>
      </c>
      <c r="F37" s="7">
        <v>1.35</v>
      </c>
      <c r="G37" s="7">
        <v>0</v>
      </c>
      <c r="H37" s="7">
        <v>0.21</v>
      </c>
      <c r="I37" s="7">
        <v>0.5</v>
      </c>
      <c r="J37" s="7">
        <v>1.56</v>
      </c>
    </row>
    <row r="38" spans="1:10">
      <c r="A38" s="5">
        <v>46294</v>
      </c>
      <c r="B38" t="s">
        <v>24</v>
      </c>
      <c r="C38" s="8" t="s">
        <v>67</v>
      </c>
      <c r="D38" s="2">
        <v>2</v>
      </c>
      <c r="E38" s="7">
        <f t="shared" si="0"/>
        <v>2.19</v>
      </c>
      <c r="F38" s="7">
        <v>4.38</v>
      </c>
      <c r="G38" s="7">
        <v>0</v>
      </c>
      <c r="H38" s="7">
        <v>0</v>
      </c>
      <c r="I38" s="7">
        <v>4.2</v>
      </c>
      <c r="J38" s="7">
        <v>4.38</v>
      </c>
    </row>
    <row r="39" spans="1:10">
      <c r="A39" s="5">
        <v>46294</v>
      </c>
      <c r="B39" t="s">
        <v>24</v>
      </c>
      <c r="C39" s="8" t="s">
        <v>87</v>
      </c>
      <c r="D39" s="2">
        <v>1</v>
      </c>
      <c r="E39" s="7">
        <f t="shared" si="0"/>
        <v>2.71</v>
      </c>
      <c r="F39" s="7">
        <v>2.71</v>
      </c>
      <c r="G39" s="7">
        <v>0</v>
      </c>
      <c r="H39" s="7">
        <v>0.42</v>
      </c>
      <c r="I39" s="7">
        <v>2.6</v>
      </c>
      <c r="J39" s="7">
        <v>3.13</v>
      </c>
    </row>
    <row r="40" spans="1:10">
      <c r="A40" s="5">
        <v>46294</v>
      </c>
      <c r="B40" t="s">
        <v>24</v>
      </c>
      <c r="C40" s="8" t="s">
        <v>44</v>
      </c>
      <c r="D40" s="2">
        <v>1</v>
      </c>
      <c r="E40" s="7">
        <f t="shared" si="0"/>
        <v>2.19</v>
      </c>
      <c r="F40" s="7">
        <v>2.19</v>
      </c>
      <c r="G40" s="7">
        <v>0</v>
      </c>
      <c r="H40" s="7">
        <v>0</v>
      </c>
      <c r="I40" s="7">
        <v>0.56999999999999995</v>
      </c>
      <c r="J40" s="7">
        <v>2.19</v>
      </c>
    </row>
    <row r="41" spans="1:10">
      <c r="A41" s="5">
        <v>46294</v>
      </c>
      <c r="B41" t="s">
        <v>24</v>
      </c>
      <c r="C41" s="8" t="s">
        <v>77</v>
      </c>
      <c r="D41" s="2">
        <v>1</v>
      </c>
      <c r="E41" s="7">
        <f t="shared" si="0"/>
        <v>0.65</v>
      </c>
      <c r="F41" s="7">
        <v>0.65</v>
      </c>
      <c r="G41" s="7">
        <v>0</v>
      </c>
      <c r="H41" s="7">
        <v>0.1</v>
      </c>
      <c r="I41" s="7">
        <v>0.63</v>
      </c>
      <c r="J41" s="7">
        <v>0.75</v>
      </c>
    </row>
    <row r="42" spans="1:10">
      <c r="A42" s="5">
        <v>46294</v>
      </c>
      <c r="B42" t="s">
        <v>24</v>
      </c>
      <c r="C42" s="8" t="s">
        <v>93</v>
      </c>
      <c r="D42" s="2">
        <v>2</v>
      </c>
      <c r="E42" s="7">
        <f t="shared" si="0"/>
        <v>0.65</v>
      </c>
      <c r="F42" s="7">
        <v>1.3</v>
      </c>
      <c r="G42" s="7">
        <v>0</v>
      </c>
      <c r="H42" s="7">
        <v>0.2</v>
      </c>
      <c r="I42" s="7">
        <v>1.26</v>
      </c>
      <c r="J42" s="7">
        <v>1.5</v>
      </c>
    </row>
    <row r="43" spans="1:10">
      <c r="A43" s="5">
        <v>46294</v>
      </c>
      <c r="B43" t="s">
        <v>24</v>
      </c>
      <c r="C43" s="8" t="s">
        <v>74</v>
      </c>
      <c r="D43" s="2">
        <v>1</v>
      </c>
      <c r="E43" s="7">
        <f t="shared" si="0"/>
        <v>2.71</v>
      </c>
      <c r="F43" s="7">
        <v>2.71</v>
      </c>
      <c r="G43" s="7">
        <v>0</v>
      </c>
      <c r="H43" s="7">
        <v>0.42</v>
      </c>
      <c r="I43" s="7">
        <v>0.97</v>
      </c>
      <c r="J43" s="7">
        <v>3.13</v>
      </c>
    </row>
    <row r="44" spans="1:10">
      <c r="A44" s="5">
        <v>46294</v>
      </c>
      <c r="B44" t="s">
        <v>24</v>
      </c>
      <c r="C44" s="8" t="s">
        <v>106</v>
      </c>
      <c r="D44" s="2">
        <v>2</v>
      </c>
      <c r="E44" s="7">
        <f t="shared" si="0"/>
        <v>0.38</v>
      </c>
      <c r="F44" s="7">
        <v>0.76</v>
      </c>
      <c r="G44" s="7">
        <v>0</v>
      </c>
      <c r="H44" s="7">
        <v>0.12</v>
      </c>
      <c r="I44" s="7">
        <v>0.74</v>
      </c>
      <c r="J44" s="7">
        <v>0.88</v>
      </c>
    </row>
    <row r="45" spans="1:10">
      <c r="A45" s="5">
        <v>46294</v>
      </c>
      <c r="B45" t="s">
        <v>24</v>
      </c>
      <c r="C45" s="8" t="s">
        <v>112</v>
      </c>
      <c r="D45" s="2">
        <v>1</v>
      </c>
      <c r="E45" s="7">
        <f t="shared" si="0"/>
        <v>1.08</v>
      </c>
      <c r="F45" s="7">
        <v>1.08</v>
      </c>
      <c r="G45" s="7">
        <v>0</v>
      </c>
      <c r="H45" s="7">
        <v>0.17</v>
      </c>
      <c r="I45" s="7">
        <v>0.32</v>
      </c>
      <c r="J45" s="7">
        <v>1.25</v>
      </c>
    </row>
    <row r="46" spans="1:10">
      <c r="A46" s="5">
        <v>46294</v>
      </c>
      <c r="B46" t="s">
        <v>24</v>
      </c>
      <c r="C46" s="8" t="s">
        <v>54</v>
      </c>
      <c r="D46" s="2">
        <v>18</v>
      </c>
      <c r="E46" s="7">
        <f t="shared" si="0"/>
        <v>0.38</v>
      </c>
      <c r="F46" s="7">
        <v>6.84</v>
      </c>
      <c r="G46" s="7">
        <v>0</v>
      </c>
      <c r="H46" s="7">
        <v>1.08</v>
      </c>
      <c r="I46" s="7">
        <v>5.36</v>
      </c>
      <c r="J46" s="7">
        <v>7.92</v>
      </c>
    </row>
    <row r="47" spans="1:10">
      <c r="A47" s="5">
        <v>46294</v>
      </c>
      <c r="B47" t="s">
        <v>24</v>
      </c>
      <c r="C47" s="8" t="s">
        <v>114</v>
      </c>
      <c r="D47" s="2">
        <v>4</v>
      </c>
      <c r="E47" s="7">
        <f t="shared" si="0"/>
        <v>1.08</v>
      </c>
      <c r="F47" s="7">
        <v>4.32</v>
      </c>
      <c r="G47" s="7">
        <v>0</v>
      </c>
      <c r="H47" s="7">
        <v>0.68</v>
      </c>
      <c r="I47" s="7">
        <v>1.02</v>
      </c>
      <c r="J47" s="7">
        <v>5</v>
      </c>
    </row>
    <row r="48" spans="1:10">
      <c r="A48" s="5">
        <v>46294</v>
      </c>
      <c r="B48" t="s">
        <v>24</v>
      </c>
      <c r="C48" s="8" t="s">
        <v>82</v>
      </c>
      <c r="D48" s="2">
        <v>1</v>
      </c>
      <c r="E48" s="7">
        <f t="shared" si="0"/>
        <v>1.08</v>
      </c>
      <c r="F48" s="7">
        <v>1.08</v>
      </c>
      <c r="G48" s="7">
        <v>0</v>
      </c>
      <c r="H48" s="7">
        <v>0.17</v>
      </c>
      <c r="I48" s="7">
        <v>0.26</v>
      </c>
      <c r="J48" s="7">
        <v>1.25</v>
      </c>
    </row>
    <row r="49" spans="1:10">
      <c r="A49" s="5">
        <v>46294</v>
      </c>
      <c r="B49" t="s">
        <v>24</v>
      </c>
      <c r="C49" s="8" t="s">
        <v>125</v>
      </c>
      <c r="D49" s="2">
        <v>3</v>
      </c>
      <c r="E49" s="7">
        <f t="shared" si="0"/>
        <v>1.08</v>
      </c>
      <c r="F49" s="7">
        <v>3.24</v>
      </c>
      <c r="G49" s="7">
        <v>0</v>
      </c>
      <c r="H49" s="7">
        <v>0.51</v>
      </c>
      <c r="I49" s="7">
        <v>3.15</v>
      </c>
      <c r="J49" s="7">
        <v>3.75</v>
      </c>
    </row>
    <row r="50" spans="1:10">
      <c r="A50" s="5">
        <v>46294</v>
      </c>
      <c r="B50" t="s">
        <v>24</v>
      </c>
      <c r="C50" s="8" t="s">
        <v>33</v>
      </c>
      <c r="D50" s="2">
        <v>1</v>
      </c>
      <c r="E50" s="7">
        <f t="shared" si="0"/>
        <v>2.16</v>
      </c>
      <c r="F50" s="7">
        <v>2.16</v>
      </c>
      <c r="G50" s="7">
        <v>0</v>
      </c>
      <c r="H50" s="7">
        <v>0.34</v>
      </c>
      <c r="I50" s="7">
        <v>2.09</v>
      </c>
      <c r="J50" s="7">
        <v>2.5</v>
      </c>
    </row>
    <row r="51" spans="1:10">
      <c r="A51" s="5">
        <v>46294</v>
      </c>
      <c r="B51" t="s">
        <v>24</v>
      </c>
      <c r="C51" s="8" t="s">
        <v>128</v>
      </c>
      <c r="D51" s="2">
        <v>3</v>
      </c>
      <c r="E51" s="7">
        <f t="shared" si="0"/>
        <v>2.16</v>
      </c>
      <c r="F51" s="7">
        <v>6.48</v>
      </c>
      <c r="G51" s="7">
        <v>0</v>
      </c>
      <c r="H51" s="7">
        <v>1.01</v>
      </c>
      <c r="I51" s="7">
        <v>6.27</v>
      </c>
      <c r="J51" s="7">
        <v>7.49</v>
      </c>
    </row>
    <row r="52" spans="1:10">
      <c r="A52" s="5">
        <v>46294</v>
      </c>
      <c r="B52" t="s">
        <v>24</v>
      </c>
      <c r="C52" s="8" t="s">
        <v>48</v>
      </c>
      <c r="D52" s="2">
        <v>40</v>
      </c>
      <c r="E52" s="7">
        <f t="shared" si="0"/>
        <v>0.05</v>
      </c>
      <c r="F52" s="7">
        <v>2</v>
      </c>
      <c r="G52" s="7">
        <v>0</v>
      </c>
      <c r="H52" s="7">
        <v>0.32</v>
      </c>
      <c r="I52" s="7">
        <v>0.91</v>
      </c>
      <c r="J52" s="7">
        <v>2.3199999999999998</v>
      </c>
    </row>
    <row r="53" spans="1:10">
      <c r="A53" s="5">
        <v>46294</v>
      </c>
      <c r="B53" t="s">
        <v>24</v>
      </c>
      <c r="C53" s="8" t="s">
        <v>60</v>
      </c>
      <c r="D53" s="2">
        <v>7</v>
      </c>
      <c r="E53" s="7">
        <f t="shared" si="0"/>
        <v>0.31</v>
      </c>
      <c r="F53" s="7">
        <v>2.17</v>
      </c>
      <c r="G53" s="7">
        <v>0</v>
      </c>
      <c r="H53" s="7">
        <v>0</v>
      </c>
      <c r="I53" s="7">
        <v>2.1</v>
      </c>
      <c r="J53" s="7">
        <v>2.17</v>
      </c>
    </row>
    <row r="54" spans="1:10">
      <c r="A54" s="5">
        <v>46294</v>
      </c>
      <c r="B54" t="s">
        <v>24</v>
      </c>
      <c r="C54" s="8" t="s">
        <v>30</v>
      </c>
      <c r="D54" s="2">
        <v>2</v>
      </c>
      <c r="E54" s="7">
        <f t="shared" si="0"/>
        <v>0.81</v>
      </c>
      <c r="F54" s="7">
        <v>1.62</v>
      </c>
      <c r="G54" s="7">
        <v>0</v>
      </c>
      <c r="H54" s="7">
        <v>0.26</v>
      </c>
      <c r="I54" s="7">
        <v>0.86</v>
      </c>
      <c r="J54" s="7">
        <v>1.88</v>
      </c>
    </row>
    <row r="55" spans="1:10">
      <c r="A55" s="5">
        <v>46294</v>
      </c>
      <c r="B55" t="s">
        <v>164</v>
      </c>
      <c r="C55" s="8" t="s">
        <v>147</v>
      </c>
      <c r="D55" s="2">
        <v>2</v>
      </c>
      <c r="E55" s="7">
        <f t="shared" si="0"/>
        <v>2.16</v>
      </c>
      <c r="F55" s="7">
        <v>4.32</v>
      </c>
      <c r="G55" s="7">
        <v>0</v>
      </c>
      <c r="H55" s="7">
        <v>0.68</v>
      </c>
      <c r="I55" s="7">
        <v>4.18</v>
      </c>
      <c r="J55" s="7">
        <v>5</v>
      </c>
    </row>
    <row r="56" spans="1:10">
      <c r="A56" s="5">
        <v>46294</v>
      </c>
      <c r="B56" t="s">
        <v>164</v>
      </c>
      <c r="C56" s="8" t="s">
        <v>173</v>
      </c>
      <c r="D56" s="2">
        <v>2</v>
      </c>
      <c r="E56" s="7">
        <f t="shared" si="0"/>
        <v>2.16</v>
      </c>
      <c r="F56" s="7">
        <v>4.32</v>
      </c>
      <c r="G56" s="7">
        <v>0</v>
      </c>
      <c r="H56" s="7">
        <v>0.68</v>
      </c>
      <c r="I56" s="7">
        <v>4.16</v>
      </c>
      <c r="J56" s="7">
        <v>5</v>
      </c>
    </row>
    <row r="57" spans="1:10">
      <c r="A57" s="5">
        <v>46294</v>
      </c>
      <c r="B57" t="s">
        <v>164</v>
      </c>
      <c r="C57" s="8" t="s">
        <v>64</v>
      </c>
      <c r="D57" s="2">
        <v>1</v>
      </c>
      <c r="E57" s="7">
        <f t="shared" si="0"/>
        <v>1.9</v>
      </c>
      <c r="F57" s="7">
        <v>1.9</v>
      </c>
      <c r="G57" s="7">
        <v>0</v>
      </c>
      <c r="H57" s="7">
        <v>0.28999999999999998</v>
      </c>
      <c r="I57" s="7">
        <v>1.83</v>
      </c>
      <c r="J57" s="7">
        <v>2.19</v>
      </c>
    </row>
    <row r="58" spans="1:10">
      <c r="A58" s="5">
        <v>46294</v>
      </c>
      <c r="B58" t="s">
        <v>164</v>
      </c>
      <c r="C58" s="8" t="s">
        <v>121</v>
      </c>
      <c r="D58" s="2">
        <v>6</v>
      </c>
      <c r="E58" s="7">
        <f t="shared" si="0"/>
        <v>0.81</v>
      </c>
      <c r="F58" s="7">
        <v>4.8600000000000003</v>
      </c>
      <c r="G58" s="7">
        <v>0</v>
      </c>
      <c r="H58" s="7">
        <v>0.75</v>
      </c>
      <c r="I58" s="7">
        <v>4.71</v>
      </c>
      <c r="J58" s="7">
        <v>5.61</v>
      </c>
    </row>
    <row r="59" spans="1:10">
      <c r="A59" s="5">
        <v>46294</v>
      </c>
      <c r="B59" t="s">
        <v>164</v>
      </c>
      <c r="C59" s="8" t="s">
        <v>110</v>
      </c>
      <c r="D59" s="2">
        <v>1</v>
      </c>
      <c r="E59" s="7">
        <f t="shared" si="0"/>
        <v>1.08</v>
      </c>
      <c r="F59" s="7">
        <v>1.08</v>
      </c>
      <c r="G59" s="7">
        <v>0</v>
      </c>
      <c r="H59" s="7">
        <v>0.17</v>
      </c>
      <c r="I59" s="7">
        <v>0.26</v>
      </c>
      <c r="J59" s="7">
        <v>1.25</v>
      </c>
    </row>
    <row r="60" spans="1:10">
      <c r="A60" s="5">
        <v>46294</v>
      </c>
      <c r="B60" t="s">
        <v>164</v>
      </c>
      <c r="C60" s="8" t="s">
        <v>89</v>
      </c>
      <c r="D60" s="2">
        <v>3</v>
      </c>
      <c r="E60" s="7">
        <f t="shared" si="0"/>
        <v>0.81</v>
      </c>
      <c r="F60" s="7">
        <v>2.4300000000000002</v>
      </c>
      <c r="G60" s="7">
        <v>0</v>
      </c>
      <c r="H60" s="7">
        <v>0.39</v>
      </c>
      <c r="I60" s="7">
        <v>2.37</v>
      </c>
      <c r="J60" s="7">
        <v>2.82</v>
      </c>
    </row>
    <row r="61" spans="1:10">
      <c r="A61" s="5">
        <v>46294</v>
      </c>
      <c r="B61" t="s">
        <v>164</v>
      </c>
      <c r="C61" s="8" t="s">
        <v>163</v>
      </c>
      <c r="D61" s="2">
        <v>1</v>
      </c>
      <c r="E61" s="7">
        <f t="shared" si="0"/>
        <v>1.63</v>
      </c>
      <c r="F61" s="7">
        <v>1.63</v>
      </c>
      <c r="G61" s="7">
        <v>0</v>
      </c>
      <c r="H61" s="7">
        <v>0.25</v>
      </c>
      <c r="I61" s="7">
        <v>1.57</v>
      </c>
      <c r="J61" s="7">
        <v>1.88</v>
      </c>
    </row>
    <row r="62" spans="1:10">
      <c r="A62" s="5">
        <v>46294</v>
      </c>
      <c r="B62" t="s">
        <v>164</v>
      </c>
      <c r="C62" s="8" t="s">
        <v>85</v>
      </c>
      <c r="D62" s="2">
        <v>1</v>
      </c>
      <c r="E62" s="7">
        <f t="shared" si="0"/>
        <v>1.35</v>
      </c>
      <c r="F62" s="7">
        <v>1.35</v>
      </c>
      <c r="G62" s="7">
        <v>0</v>
      </c>
      <c r="H62" s="7">
        <v>0.21</v>
      </c>
      <c r="I62" s="7">
        <v>1.3</v>
      </c>
      <c r="J62" s="7">
        <v>1.56</v>
      </c>
    </row>
    <row r="63" spans="1:10">
      <c r="A63" s="5">
        <v>46294</v>
      </c>
      <c r="B63" t="s">
        <v>164</v>
      </c>
      <c r="C63" s="8" t="s">
        <v>141</v>
      </c>
      <c r="D63" s="2">
        <v>5</v>
      </c>
      <c r="E63" s="7">
        <f t="shared" si="0"/>
        <v>0.55000000000000004</v>
      </c>
      <c r="F63" s="7">
        <v>2.75</v>
      </c>
      <c r="G63" s="7">
        <v>0</v>
      </c>
      <c r="H63" s="7">
        <v>0.42</v>
      </c>
      <c r="I63" s="7">
        <v>2.66</v>
      </c>
      <c r="J63" s="7">
        <v>3.17</v>
      </c>
    </row>
    <row r="64" spans="1:10">
      <c r="A64" s="5">
        <v>46294</v>
      </c>
      <c r="B64" t="s">
        <v>164</v>
      </c>
      <c r="C64" s="8" t="s">
        <v>158</v>
      </c>
      <c r="D64" s="2">
        <v>3</v>
      </c>
      <c r="E64" s="7">
        <f t="shared" si="0"/>
        <v>0.54999999999999993</v>
      </c>
      <c r="F64" s="7">
        <v>1.65</v>
      </c>
      <c r="G64" s="7">
        <v>0</v>
      </c>
      <c r="H64" s="7">
        <v>0.25</v>
      </c>
      <c r="I64" s="7">
        <v>1.6</v>
      </c>
      <c r="J64" s="7">
        <v>1.9</v>
      </c>
    </row>
    <row r="65" spans="1:10">
      <c r="A65" s="5">
        <v>46294</v>
      </c>
      <c r="B65" t="s">
        <v>164</v>
      </c>
      <c r="C65" s="8" t="s">
        <v>177</v>
      </c>
      <c r="D65" s="2">
        <v>1</v>
      </c>
      <c r="E65" s="7">
        <f t="shared" si="0"/>
        <v>2.16</v>
      </c>
      <c r="F65" s="7">
        <v>2.16</v>
      </c>
      <c r="G65" s="7">
        <v>0</v>
      </c>
      <c r="H65" s="7">
        <v>0.34</v>
      </c>
      <c r="I65" s="7">
        <v>2.1</v>
      </c>
      <c r="J65" s="7">
        <v>2.5</v>
      </c>
    </row>
    <row r="66" spans="1:10">
      <c r="A66" s="5">
        <v>46294</v>
      </c>
      <c r="B66" t="s">
        <v>164</v>
      </c>
      <c r="C66" s="8" t="s">
        <v>189</v>
      </c>
      <c r="D66" s="2">
        <v>1</v>
      </c>
      <c r="E66" s="7">
        <f t="shared" si="0"/>
        <v>3.79</v>
      </c>
      <c r="F66" s="7">
        <v>3.79</v>
      </c>
      <c r="G66" s="7">
        <v>0</v>
      </c>
      <c r="H66" s="7">
        <v>0.59</v>
      </c>
      <c r="I66" s="7">
        <v>0.96</v>
      </c>
      <c r="J66" s="7">
        <v>4.38</v>
      </c>
    </row>
    <row r="67" spans="1:10">
      <c r="A67" s="5">
        <v>46294</v>
      </c>
      <c r="B67" t="s">
        <v>164</v>
      </c>
      <c r="C67" s="8" t="s">
        <v>169</v>
      </c>
      <c r="D67" s="2">
        <v>2</v>
      </c>
      <c r="E67" s="7">
        <f t="shared" si="0"/>
        <v>1.63</v>
      </c>
      <c r="F67" s="7">
        <v>3.26</v>
      </c>
      <c r="G67" s="7">
        <v>0</v>
      </c>
      <c r="H67" s="7">
        <v>0.5</v>
      </c>
      <c r="I67" s="7">
        <v>3.16</v>
      </c>
      <c r="J67" s="7">
        <v>3.76</v>
      </c>
    </row>
    <row r="68" spans="1:10">
      <c r="A68" s="5">
        <v>46294</v>
      </c>
      <c r="B68" t="s">
        <v>164</v>
      </c>
      <c r="C68" s="8" t="s">
        <v>106</v>
      </c>
      <c r="D68" s="2">
        <v>6</v>
      </c>
      <c r="E68" s="7">
        <f t="shared" si="0"/>
        <v>0.37999999999999995</v>
      </c>
      <c r="F68" s="7">
        <v>2.2799999999999998</v>
      </c>
      <c r="G68" s="7">
        <v>0</v>
      </c>
      <c r="H68" s="7">
        <v>0.36</v>
      </c>
      <c r="I68" s="7">
        <v>2.2400000000000002</v>
      </c>
      <c r="J68" s="7">
        <v>2.64</v>
      </c>
    </row>
    <row r="69" spans="1:10">
      <c r="A69" s="5">
        <v>46294</v>
      </c>
      <c r="B69" t="s">
        <v>164</v>
      </c>
      <c r="C69" s="8" t="s">
        <v>82</v>
      </c>
      <c r="D69" s="2">
        <v>3</v>
      </c>
      <c r="E69" s="7">
        <f t="shared" si="0"/>
        <v>1.08</v>
      </c>
      <c r="F69" s="7">
        <v>3.24</v>
      </c>
      <c r="G69" s="7">
        <v>0</v>
      </c>
      <c r="H69" s="7">
        <v>0.51</v>
      </c>
      <c r="I69" s="7">
        <v>0.78</v>
      </c>
      <c r="J69" s="7">
        <v>3.75</v>
      </c>
    </row>
    <row r="70" spans="1:10">
      <c r="A70" s="5">
        <v>46294</v>
      </c>
      <c r="B70" t="s">
        <v>164</v>
      </c>
      <c r="C70" s="8" t="s">
        <v>125</v>
      </c>
      <c r="D70" s="2">
        <v>2</v>
      </c>
      <c r="E70" s="7">
        <f t="shared" si="0"/>
        <v>1.08</v>
      </c>
      <c r="F70" s="7">
        <v>2.16</v>
      </c>
      <c r="G70" s="7">
        <v>0</v>
      </c>
      <c r="H70" s="7">
        <v>0.34</v>
      </c>
      <c r="I70" s="7">
        <v>2.1</v>
      </c>
      <c r="J70" s="7">
        <v>2.5</v>
      </c>
    </row>
    <row r="71" spans="1:10">
      <c r="A71" s="5">
        <v>46295</v>
      </c>
      <c r="B71" t="s">
        <v>24</v>
      </c>
      <c r="C71" s="8" t="s">
        <v>232</v>
      </c>
      <c r="D71" s="2">
        <v>5</v>
      </c>
      <c r="E71" s="7">
        <f t="shared" si="0"/>
        <v>0.55000000000000004</v>
      </c>
      <c r="F71" s="7">
        <v>2.75</v>
      </c>
      <c r="G71" s="7">
        <v>0</v>
      </c>
      <c r="H71" s="7">
        <v>0.42</v>
      </c>
      <c r="I71" s="7">
        <v>2.7</v>
      </c>
      <c r="J71" s="7">
        <v>3.17</v>
      </c>
    </row>
    <row r="72" spans="1:10">
      <c r="A72" s="5">
        <v>46295</v>
      </c>
      <c r="B72" t="s">
        <v>24</v>
      </c>
      <c r="C72" s="8" t="s">
        <v>271</v>
      </c>
      <c r="D72" s="2">
        <v>2</v>
      </c>
      <c r="E72" s="7">
        <f t="shared" si="0"/>
        <v>1.35</v>
      </c>
      <c r="F72" s="7">
        <v>2.7</v>
      </c>
      <c r="G72" s="7">
        <v>0</v>
      </c>
      <c r="H72" s="7">
        <v>0.42</v>
      </c>
      <c r="I72" s="7">
        <v>0.9</v>
      </c>
      <c r="J72" s="7">
        <v>3.12</v>
      </c>
    </row>
    <row r="73" spans="1:10">
      <c r="A73" s="5">
        <v>46295</v>
      </c>
      <c r="B73" t="s">
        <v>24</v>
      </c>
      <c r="C73" s="8" t="s">
        <v>51</v>
      </c>
      <c r="D73" s="2">
        <v>2</v>
      </c>
      <c r="E73" s="7">
        <f t="shared" si="0"/>
        <v>0.43</v>
      </c>
      <c r="F73" s="7">
        <v>0.86</v>
      </c>
      <c r="G73" s="7">
        <v>0</v>
      </c>
      <c r="H73" s="7">
        <v>0.14000000000000001</v>
      </c>
      <c r="I73" s="7">
        <v>0.82</v>
      </c>
      <c r="J73" s="7">
        <v>1</v>
      </c>
    </row>
    <row r="74" spans="1:10">
      <c r="A74" s="5">
        <v>46295</v>
      </c>
      <c r="B74" t="s">
        <v>24</v>
      </c>
      <c r="C74" s="8" t="s">
        <v>152</v>
      </c>
      <c r="D74" s="2">
        <v>1</v>
      </c>
      <c r="E74" s="7">
        <f t="shared" si="0"/>
        <v>0.27</v>
      </c>
      <c r="F74" s="7">
        <v>0.27</v>
      </c>
      <c r="G74" s="7">
        <v>0</v>
      </c>
      <c r="H74" s="7">
        <v>0.04</v>
      </c>
      <c r="I74" s="7">
        <v>0.14000000000000001</v>
      </c>
      <c r="J74" s="7">
        <v>0.31</v>
      </c>
    </row>
    <row r="75" spans="1:10">
      <c r="A75" s="5">
        <v>46295</v>
      </c>
      <c r="B75" t="s">
        <v>24</v>
      </c>
      <c r="C75" s="8" t="s">
        <v>39</v>
      </c>
      <c r="D75" s="2">
        <v>13</v>
      </c>
      <c r="E75" s="7">
        <f t="shared" ref="E75:E138" si="1">IFERROR(F75/D75,0)</f>
        <v>3.0000000000000002E-2</v>
      </c>
      <c r="F75" s="7">
        <v>0.39</v>
      </c>
      <c r="G75" s="7">
        <v>0</v>
      </c>
      <c r="H75" s="7">
        <v>0.05</v>
      </c>
      <c r="I75" s="7">
        <v>0.13</v>
      </c>
      <c r="J75" s="7">
        <v>0.44</v>
      </c>
    </row>
    <row r="76" spans="1:10">
      <c r="A76" s="5">
        <v>46295</v>
      </c>
      <c r="B76" t="s">
        <v>24</v>
      </c>
      <c r="C76" s="8" t="s">
        <v>147</v>
      </c>
      <c r="D76" s="2">
        <v>1</v>
      </c>
      <c r="E76" s="7">
        <f t="shared" si="1"/>
        <v>2.16</v>
      </c>
      <c r="F76" s="7">
        <v>2.16</v>
      </c>
      <c r="G76" s="7">
        <v>0</v>
      </c>
      <c r="H76" s="7">
        <v>0.34</v>
      </c>
      <c r="I76" s="7">
        <v>2.09</v>
      </c>
      <c r="J76" s="7">
        <v>2.5</v>
      </c>
    </row>
    <row r="77" spans="1:10">
      <c r="A77" s="5">
        <v>46295</v>
      </c>
      <c r="B77" t="s">
        <v>24</v>
      </c>
      <c r="C77" s="8" t="s">
        <v>36</v>
      </c>
      <c r="D77" s="2">
        <v>4</v>
      </c>
      <c r="E77" s="7">
        <f t="shared" si="1"/>
        <v>0.81</v>
      </c>
      <c r="F77" s="7">
        <v>3.24</v>
      </c>
      <c r="G77" s="7">
        <v>0</v>
      </c>
      <c r="H77" s="7">
        <v>0.51</v>
      </c>
      <c r="I77" s="7">
        <v>1.51</v>
      </c>
      <c r="J77" s="7">
        <v>3.75</v>
      </c>
    </row>
    <row r="78" spans="1:10">
      <c r="A78" s="5">
        <v>46295</v>
      </c>
      <c r="B78" t="s">
        <v>24</v>
      </c>
      <c r="C78" s="8" t="s">
        <v>64</v>
      </c>
      <c r="D78" s="2">
        <v>5</v>
      </c>
      <c r="E78" s="7">
        <f t="shared" si="1"/>
        <v>1.9</v>
      </c>
      <c r="F78" s="7">
        <v>9.5</v>
      </c>
      <c r="G78" s="7">
        <v>0</v>
      </c>
      <c r="H78" s="7">
        <v>1.45</v>
      </c>
      <c r="I78" s="7">
        <v>9.15</v>
      </c>
      <c r="J78" s="7">
        <v>10.95</v>
      </c>
    </row>
    <row r="79" spans="1:10">
      <c r="A79" s="5">
        <v>46295</v>
      </c>
      <c r="B79" t="s">
        <v>24</v>
      </c>
      <c r="C79" s="8" t="s">
        <v>99</v>
      </c>
      <c r="D79" s="2">
        <v>6</v>
      </c>
      <c r="E79" s="7">
        <f t="shared" si="1"/>
        <v>0.81</v>
      </c>
      <c r="F79" s="7">
        <v>4.8600000000000003</v>
      </c>
      <c r="G79" s="7">
        <v>0</v>
      </c>
      <c r="H79" s="7">
        <v>0.76</v>
      </c>
      <c r="I79" s="7">
        <v>4.72</v>
      </c>
      <c r="J79" s="7">
        <v>5.62</v>
      </c>
    </row>
    <row r="80" spans="1:10">
      <c r="A80" s="5">
        <v>46295</v>
      </c>
      <c r="B80" t="s">
        <v>24</v>
      </c>
      <c r="C80" s="8" t="s">
        <v>121</v>
      </c>
      <c r="D80" s="2">
        <v>2</v>
      </c>
      <c r="E80" s="7">
        <f t="shared" si="1"/>
        <v>0.81</v>
      </c>
      <c r="F80" s="7">
        <v>1.62</v>
      </c>
      <c r="G80" s="7">
        <v>0</v>
      </c>
      <c r="H80" s="7">
        <v>0.26</v>
      </c>
      <c r="I80" s="7">
        <v>1.58</v>
      </c>
      <c r="J80" s="7">
        <v>1.88</v>
      </c>
    </row>
    <row r="81" spans="1:10">
      <c r="A81" s="5">
        <v>46295</v>
      </c>
      <c r="B81" t="s">
        <v>24</v>
      </c>
      <c r="C81" s="8" t="s">
        <v>110</v>
      </c>
      <c r="D81" s="2">
        <v>7</v>
      </c>
      <c r="E81" s="7">
        <f t="shared" si="1"/>
        <v>1.0799999999999998</v>
      </c>
      <c r="F81" s="7">
        <v>7.56</v>
      </c>
      <c r="G81" s="7">
        <v>0</v>
      </c>
      <c r="H81" s="7">
        <v>1.18</v>
      </c>
      <c r="I81" s="7">
        <v>1.81</v>
      </c>
      <c r="J81" s="7">
        <v>8.74</v>
      </c>
    </row>
    <row r="82" spans="1:10">
      <c r="A82" s="5">
        <v>46295</v>
      </c>
      <c r="B82" t="s">
        <v>24</v>
      </c>
      <c r="C82" s="8" t="s">
        <v>237</v>
      </c>
      <c r="D82" s="2">
        <v>1</v>
      </c>
      <c r="E82" s="7">
        <f t="shared" si="1"/>
        <v>5.14</v>
      </c>
      <c r="F82" s="7">
        <v>5.14</v>
      </c>
      <c r="G82" s="7">
        <v>0</v>
      </c>
      <c r="H82" s="7">
        <v>0.8</v>
      </c>
      <c r="I82" s="7">
        <v>1.18</v>
      </c>
      <c r="J82" s="7">
        <v>5.94</v>
      </c>
    </row>
    <row r="83" spans="1:10">
      <c r="A83" s="5">
        <v>46295</v>
      </c>
      <c r="B83" t="s">
        <v>24</v>
      </c>
      <c r="C83" s="8" t="s">
        <v>89</v>
      </c>
      <c r="D83" s="2">
        <v>7</v>
      </c>
      <c r="E83" s="7">
        <f t="shared" si="1"/>
        <v>0.80999999999999994</v>
      </c>
      <c r="F83" s="7">
        <v>5.67</v>
      </c>
      <c r="G83" s="7">
        <v>0</v>
      </c>
      <c r="H83" s="7">
        <v>0.89</v>
      </c>
      <c r="I83" s="7">
        <v>5.51</v>
      </c>
      <c r="J83" s="7">
        <v>6.56</v>
      </c>
    </row>
    <row r="84" spans="1:10">
      <c r="A84" s="5">
        <v>46295</v>
      </c>
      <c r="B84" t="s">
        <v>24</v>
      </c>
      <c r="C84" s="8" t="s">
        <v>101</v>
      </c>
      <c r="D84" s="2">
        <v>3</v>
      </c>
      <c r="E84" s="7">
        <f t="shared" si="1"/>
        <v>0.81</v>
      </c>
      <c r="F84" s="7">
        <v>2.4300000000000002</v>
      </c>
      <c r="G84" s="7">
        <v>0</v>
      </c>
      <c r="H84" s="7">
        <v>0.39</v>
      </c>
      <c r="I84" s="7">
        <v>1.17</v>
      </c>
      <c r="J84" s="7">
        <v>2.82</v>
      </c>
    </row>
    <row r="85" spans="1:10">
      <c r="A85" s="5">
        <v>46295</v>
      </c>
      <c r="B85" t="s">
        <v>24</v>
      </c>
      <c r="C85" s="8" t="s">
        <v>230</v>
      </c>
      <c r="D85" s="2">
        <v>8</v>
      </c>
      <c r="E85" s="7">
        <f t="shared" si="1"/>
        <v>0.81</v>
      </c>
      <c r="F85" s="7">
        <v>6.48</v>
      </c>
      <c r="G85" s="7">
        <v>0</v>
      </c>
      <c r="H85" s="7">
        <v>1.01</v>
      </c>
      <c r="I85" s="7">
        <v>6.29</v>
      </c>
      <c r="J85" s="7">
        <v>7.49</v>
      </c>
    </row>
    <row r="86" spans="1:10">
      <c r="A86" s="5">
        <v>46295</v>
      </c>
      <c r="B86" t="s">
        <v>24</v>
      </c>
      <c r="C86" s="8" t="s">
        <v>144</v>
      </c>
      <c r="D86" s="2">
        <v>5</v>
      </c>
      <c r="E86" s="7">
        <f t="shared" si="1"/>
        <v>1.25</v>
      </c>
      <c r="F86" s="7">
        <v>6.25</v>
      </c>
      <c r="G86" s="7">
        <v>0</v>
      </c>
      <c r="H86" s="7">
        <v>0</v>
      </c>
      <c r="I86" s="7">
        <v>6.04</v>
      </c>
      <c r="J86" s="7">
        <v>6.25</v>
      </c>
    </row>
    <row r="87" spans="1:10">
      <c r="A87" s="5">
        <v>46295</v>
      </c>
      <c r="B87" t="s">
        <v>24</v>
      </c>
      <c r="C87" s="8" t="s">
        <v>219</v>
      </c>
      <c r="D87" s="2">
        <v>2</v>
      </c>
      <c r="E87" s="7">
        <f t="shared" si="1"/>
        <v>1.9</v>
      </c>
      <c r="F87" s="7">
        <v>3.8</v>
      </c>
      <c r="G87" s="7">
        <v>0</v>
      </c>
      <c r="H87" s="7">
        <v>0.57999999999999996</v>
      </c>
      <c r="I87" s="7">
        <v>3.68</v>
      </c>
      <c r="J87" s="7">
        <v>4.38</v>
      </c>
    </row>
    <row r="88" spans="1:10">
      <c r="A88" s="5">
        <v>46295</v>
      </c>
      <c r="B88" t="s">
        <v>24</v>
      </c>
      <c r="C88" s="8" t="s">
        <v>150</v>
      </c>
      <c r="D88" s="2">
        <v>2</v>
      </c>
      <c r="E88" s="7">
        <f t="shared" si="1"/>
        <v>0.55000000000000004</v>
      </c>
      <c r="F88" s="7">
        <v>1.1000000000000001</v>
      </c>
      <c r="G88" s="7">
        <v>0</v>
      </c>
      <c r="H88" s="7">
        <v>0.16</v>
      </c>
      <c r="I88" s="7">
        <v>1.08</v>
      </c>
      <c r="J88" s="7">
        <v>1.26</v>
      </c>
    </row>
    <row r="89" spans="1:10">
      <c r="A89" s="5">
        <v>46295</v>
      </c>
      <c r="B89" t="s">
        <v>24</v>
      </c>
      <c r="C89" s="8" t="s">
        <v>206</v>
      </c>
      <c r="D89" s="2">
        <v>1</v>
      </c>
      <c r="E89" s="7">
        <f t="shared" si="1"/>
        <v>0.55000000000000004</v>
      </c>
      <c r="F89" s="7">
        <v>0.55000000000000004</v>
      </c>
      <c r="G89" s="7">
        <v>0</v>
      </c>
      <c r="H89" s="7">
        <v>0.08</v>
      </c>
      <c r="I89" s="7">
        <v>0.54</v>
      </c>
      <c r="J89" s="7">
        <v>0.63</v>
      </c>
    </row>
    <row r="90" spans="1:10">
      <c r="A90" s="5">
        <v>46295</v>
      </c>
      <c r="B90" t="s">
        <v>24</v>
      </c>
      <c r="C90" s="8" t="s">
        <v>251</v>
      </c>
      <c r="D90" s="2">
        <v>2</v>
      </c>
      <c r="E90" s="7">
        <f t="shared" si="1"/>
        <v>1.35</v>
      </c>
      <c r="F90" s="7">
        <v>2.7</v>
      </c>
      <c r="G90" s="7">
        <v>0</v>
      </c>
      <c r="H90" s="7">
        <v>0.42</v>
      </c>
      <c r="I90" s="7">
        <v>2.6</v>
      </c>
      <c r="J90" s="7">
        <v>3.12</v>
      </c>
    </row>
    <row r="91" spans="1:10">
      <c r="A91" s="5">
        <v>46295</v>
      </c>
      <c r="B91" t="s">
        <v>24</v>
      </c>
      <c r="C91" s="8" t="s">
        <v>195</v>
      </c>
      <c r="D91" s="2">
        <v>1</v>
      </c>
      <c r="E91" s="7">
        <f t="shared" si="1"/>
        <v>1.08</v>
      </c>
      <c r="F91" s="7">
        <v>1.08</v>
      </c>
      <c r="G91" s="7">
        <v>0</v>
      </c>
      <c r="H91" s="7">
        <v>0.17</v>
      </c>
      <c r="I91" s="7">
        <v>0.43</v>
      </c>
      <c r="J91" s="7">
        <v>1.25</v>
      </c>
    </row>
    <row r="92" spans="1:10">
      <c r="A92" s="5">
        <v>46295</v>
      </c>
      <c r="B92" t="s">
        <v>24</v>
      </c>
      <c r="C92" s="8" t="s">
        <v>225</v>
      </c>
      <c r="D92" s="2">
        <v>2</v>
      </c>
      <c r="E92" s="7">
        <f t="shared" si="1"/>
        <v>0.81</v>
      </c>
      <c r="F92" s="7">
        <v>1.62</v>
      </c>
      <c r="G92" s="7">
        <v>0</v>
      </c>
      <c r="H92" s="7">
        <v>0.26</v>
      </c>
      <c r="I92" s="7">
        <v>1.58</v>
      </c>
      <c r="J92" s="7">
        <v>1.88</v>
      </c>
    </row>
    <row r="93" spans="1:10">
      <c r="A93" s="5">
        <v>46295</v>
      </c>
      <c r="B93" t="s">
        <v>24</v>
      </c>
      <c r="C93" s="8" t="s">
        <v>91</v>
      </c>
      <c r="D93" s="2">
        <v>1</v>
      </c>
      <c r="E93" s="7">
        <f t="shared" si="1"/>
        <v>1.08</v>
      </c>
      <c r="F93" s="7">
        <v>1.08</v>
      </c>
      <c r="G93" s="7">
        <v>0</v>
      </c>
      <c r="H93" s="7">
        <v>0.17</v>
      </c>
      <c r="I93" s="7">
        <v>1.04</v>
      </c>
      <c r="J93" s="7">
        <v>1.25</v>
      </c>
    </row>
    <row r="94" spans="1:10">
      <c r="A94" s="5">
        <v>46295</v>
      </c>
      <c r="B94" t="s">
        <v>24</v>
      </c>
      <c r="C94" s="8" t="s">
        <v>85</v>
      </c>
      <c r="D94" s="2">
        <v>1</v>
      </c>
      <c r="E94" s="7">
        <f t="shared" si="1"/>
        <v>1.35</v>
      </c>
      <c r="F94" s="7">
        <v>1.35</v>
      </c>
      <c r="G94" s="7">
        <v>0</v>
      </c>
      <c r="H94" s="7">
        <v>0.21</v>
      </c>
      <c r="I94" s="7">
        <v>1.3</v>
      </c>
      <c r="J94" s="7">
        <v>1.56</v>
      </c>
    </row>
    <row r="95" spans="1:10">
      <c r="A95" s="5">
        <v>46295</v>
      </c>
      <c r="B95" t="s">
        <v>24</v>
      </c>
      <c r="C95" s="8" t="s">
        <v>260</v>
      </c>
      <c r="D95" s="2">
        <v>4</v>
      </c>
      <c r="E95" s="7">
        <f t="shared" si="1"/>
        <v>1.08</v>
      </c>
      <c r="F95" s="7">
        <v>4.32</v>
      </c>
      <c r="G95" s="7">
        <v>0</v>
      </c>
      <c r="H95" s="7">
        <v>0.68</v>
      </c>
      <c r="I95" s="7">
        <v>2.2400000000000002</v>
      </c>
      <c r="J95" s="7">
        <v>5</v>
      </c>
    </row>
    <row r="96" spans="1:10">
      <c r="A96" s="5">
        <v>46295</v>
      </c>
      <c r="B96" t="s">
        <v>24</v>
      </c>
      <c r="C96" s="8" t="s">
        <v>298</v>
      </c>
      <c r="D96" s="2">
        <v>1</v>
      </c>
      <c r="E96" s="7">
        <f t="shared" si="1"/>
        <v>1.25</v>
      </c>
      <c r="F96" s="7">
        <v>1.25</v>
      </c>
      <c r="G96" s="7">
        <v>0</v>
      </c>
      <c r="H96" s="7">
        <v>0</v>
      </c>
      <c r="I96" s="7">
        <v>1.2</v>
      </c>
      <c r="J96" s="7">
        <v>1.25</v>
      </c>
    </row>
    <row r="97" spans="1:10">
      <c r="A97" s="5">
        <v>46295</v>
      </c>
      <c r="B97" t="s">
        <v>24</v>
      </c>
      <c r="C97" s="8" t="s">
        <v>193</v>
      </c>
      <c r="D97" s="2">
        <v>4</v>
      </c>
      <c r="E97" s="7">
        <f t="shared" si="1"/>
        <v>1.35</v>
      </c>
      <c r="F97" s="7">
        <v>5.4</v>
      </c>
      <c r="G97" s="7">
        <v>0</v>
      </c>
      <c r="H97" s="7">
        <v>0.84</v>
      </c>
      <c r="I97" s="7">
        <v>5.22</v>
      </c>
      <c r="J97" s="7">
        <v>6.24</v>
      </c>
    </row>
    <row r="98" spans="1:10">
      <c r="A98" s="5">
        <v>46295</v>
      </c>
      <c r="B98" t="s">
        <v>24</v>
      </c>
      <c r="C98" s="8" t="s">
        <v>57</v>
      </c>
      <c r="D98" s="2">
        <v>1</v>
      </c>
      <c r="E98" s="7">
        <f t="shared" si="1"/>
        <v>0.27</v>
      </c>
      <c r="F98" s="7">
        <v>0.27</v>
      </c>
      <c r="G98" s="7">
        <v>0</v>
      </c>
      <c r="H98" s="7">
        <v>0.04</v>
      </c>
      <c r="I98" s="7">
        <v>0.19</v>
      </c>
      <c r="J98" s="7">
        <v>0.31</v>
      </c>
    </row>
    <row r="99" spans="1:10">
      <c r="A99" s="5">
        <v>46295</v>
      </c>
      <c r="B99" t="s">
        <v>24</v>
      </c>
      <c r="C99" s="8" t="s">
        <v>158</v>
      </c>
      <c r="D99" s="2">
        <v>4</v>
      </c>
      <c r="E99" s="7">
        <f t="shared" si="1"/>
        <v>0.55000000000000004</v>
      </c>
      <c r="F99" s="7">
        <v>2.2000000000000002</v>
      </c>
      <c r="G99" s="7">
        <v>0</v>
      </c>
      <c r="H99" s="7">
        <v>0.34</v>
      </c>
      <c r="I99" s="7">
        <v>2.13</v>
      </c>
      <c r="J99" s="7">
        <v>2.54</v>
      </c>
    </row>
    <row r="100" spans="1:10">
      <c r="A100" s="5">
        <v>46295</v>
      </c>
      <c r="B100" t="s">
        <v>24</v>
      </c>
      <c r="C100" s="8" t="s">
        <v>69</v>
      </c>
      <c r="D100" s="2">
        <v>1</v>
      </c>
      <c r="E100" s="7">
        <f t="shared" si="1"/>
        <v>1.63</v>
      </c>
      <c r="F100" s="7">
        <v>1.63</v>
      </c>
      <c r="G100" s="7">
        <v>0</v>
      </c>
      <c r="H100" s="7">
        <v>0.25</v>
      </c>
      <c r="I100" s="7">
        <v>0.17</v>
      </c>
      <c r="J100" s="7">
        <v>1.88</v>
      </c>
    </row>
    <row r="101" spans="1:10">
      <c r="A101" s="5">
        <v>46295</v>
      </c>
      <c r="B101" t="s">
        <v>24</v>
      </c>
      <c r="C101" s="8" t="s">
        <v>177</v>
      </c>
      <c r="D101" s="2">
        <v>1</v>
      </c>
      <c r="E101" s="7">
        <f t="shared" si="1"/>
        <v>2.16</v>
      </c>
      <c r="F101" s="7">
        <v>2.16</v>
      </c>
      <c r="G101" s="7">
        <v>0</v>
      </c>
      <c r="H101" s="7">
        <v>0.34</v>
      </c>
      <c r="I101" s="7">
        <v>2.1</v>
      </c>
      <c r="J101" s="7">
        <v>2.5</v>
      </c>
    </row>
    <row r="102" spans="1:10">
      <c r="A102" s="5">
        <v>46295</v>
      </c>
      <c r="B102" t="s">
        <v>24</v>
      </c>
      <c r="C102" s="8" t="s">
        <v>97</v>
      </c>
      <c r="D102" s="2">
        <v>1</v>
      </c>
      <c r="E102" s="7">
        <f t="shared" si="1"/>
        <v>1.63</v>
      </c>
      <c r="F102" s="7">
        <v>1.63</v>
      </c>
      <c r="G102" s="7">
        <v>0</v>
      </c>
      <c r="H102" s="7">
        <v>0.25</v>
      </c>
      <c r="I102" s="7">
        <v>1.56</v>
      </c>
      <c r="J102" s="7">
        <v>1.88</v>
      </c>
    </row>
    <row r="103" spans="1:10">
      <c r="A103" s="5">
        <v>46295</v>
      </c>
      <c r="B103" t="s">
        <v>24</v>
      </c>
      <c r="C103" s="8" t="s">
        <v>266</v>
      </c>
      <c r="D103" s="2">
        <v>3</v>
      </c>
      <c r="E103" s="7">
        <f t="shared" si="1"/>
        <v>1.9000000000000001</v>
      </c>
      <c r="F103" s="7">
        <v>5.7</v>
      </c>
      <c r="G103" s="7">
        <v>0</v>
      </c>
      <c r="H103" s="7">
        <v>0.87</v>
      </c>
      <c r="I103" s="7">
        <v>1.71</v>
      </c>
      <c r="J103" s="7">
        <v>6.57</v>
      </c>
    </row>
    <row r="104" spans="1:10">
      <c r="A104" s="5">
        <v>46295</v>
      </c>
      <c r="B104" t="s">
        <v>24</v>
      </c>
      <c r="C104" s="8" t="s">
        <v>284</v>
      </c>
      <c r="D104" s="2">
        <v>1</v>
      </c>
      <c r="E104" s="7">
        <f t="shared" si="1"/>
        <v>1.08</v>
      </c>
      <c r="F104" s="7">
        <v>1.08</v>
      </c>
      <c r="G104" s="7">
        <v>0</v>
      </c>
      <c r="H104" s="7">
        <v>0.17</v>
      </c>
      <c r="I104" s="7">
        <v>0.43</v>
      </c>
      <c r="J104" s="7">
        <v>1.25</v>
      </c>
    </row>
    <row r="105" spans="1:10">
      <c r="A105" s="5">
        <v>46295</v>
      </c>
      <c r="B105" t="s">
        <v>24</v>
      </c>
      <c r="C105" s="8" t="s">
        <v>291</v>
      </c>
      <c r="D105" s="2">
        <v>1</v>
      </c>
      <c r="E105" s="7">
        <f t="shared" si="1"/>
        <v>0.55000000000000004</v>
      </c>
      <c r="F105" s="7">
        <v>0.55000000000000004</v>
      </c>
      <c r="G105" s="7">
        <v>0</v>
      </c>
      <c r="H105" s="7">
        <v>0.08</v>
      </c>
      <c r="I105" s="7">
        <v>0.24</v>
      </c>
      <c r="J105" s="7">
        <v>0.63</v>
      </c>
    </row>
    <row r="106" spans="1:10">
      <c r="A106" s="5">
        <v>46295</v>
      </c>
      <c r="B106" t="s">
        <v>24</v>
      </c>
      <c r="C106" s="8" t="s">
        <v>212</v>
      </c>
      <c r="D106" s="2">
        <v>1</v>
      </c>
      <c r="E106" s="7">
        <f t="shared" si="1"/>
        <v>1.56</v>
      </c>
      <c r="F106" s="7">
        <v>1.56</v>
      </c>
      <c r="G106" s="7">
        <v>0</v>
      </c>
      <c r="H106" s="7">
        <v>0</v>
      </c>
      <c r="I106" s="7">
        <v>1.51</v>
      </c>
      <c r="J106" s="7">
        <v>1.56</v>
      </c>
    </row>
    <row r="107" spans="1:10">
      <c r="A107" s="5">
        <v>46295</v>
      </c>
      <c r="B107" t="s">
        <v>24</v>
      </c>
      <c r="C107" s="8" t="s">
        <v>67</v>
      </c>
      <c r="D107" s="2">
        <v>2</v>
      </c>
      <c r="E107" s="7">
        <f t="shared" si="1"/>
        <v>2.19</v>
      </c>
      <c r="F107" s="7">
        <v>4.38</v>
      </c>
      <c r="G107" s="7">
        <v>0</v>
      </c>
      <c r="H107" s="7">
        <v>0</v>
      </c>
      <c r="I107" s="7">
        <v>4.2</v>
      </c>
      <c r="J107" s="7">
        <v>4.38</v>
      </c>
    </row>
    <row r="108" spans="1:10">
      <c r="A108" s="5">
        <v>46295</v>
      </c>
      <c r="B108" t="s">
        <v>24</v>
      </c>
      <c r="C108" s="8" t="s">
        <v>222</v>
      </c>
      <c r="D108" s="2">
        <v>1</v>
      </c>
      <c r="E108" s="7">
        <f t="shared" si="1"/>
        <v>0.81</v>
      </c>
      <c r="F108" s="7">
        <v>0.81</v>
      </c>
      <c r="G108" s="7">
        <v>0</v>
      </c>
      <c r="H108" s="7">
        <v>0.13</v>
      </c>
      <c r="I108" s="7">
        <v>0.78</v>
      </c>
      <c r="J108" s="7">
        <v>0.94</v>
      </c>
    </row>
    <row r="109" spans="1:10">
      <c r="A109" s="5">
        <v>46295</v>
      </c>
      <c r="B109" t="s">
        <v>24</v>
      </c>
      <c r="C109" s="8" t="s">
        <v>169</v>
      </c>
      <c r="D109" s="2">
        <v>3</v>
      </c>
      <c r="E109" s="7">
        <f t="shared" si="1"/>
        <v>1.63</v>
      </c>
      <c r="F109" s="7">
        <v>4.8899999999999997</v>
      </c>
      <c r="G109" s="7">
        <v>0</v>
      </c>
      <c r="H109" s="7">
        <v>0.75</v>
      </c>
      <c r="I109" s="7">
        <v>4.74</v>
      </c>
      <c r="J109" s="7">
        <v>5.64</v>
      </c>
    </row>
    <row r="110" spans="1:10">
      <c r="A110" s="5">
        <v>46295</v>
      </c>
      <c r="B110" t="s">
        <v>24</v>
      </c>
      <c r="C110" s="8" t="s">
        <v>268</v>
      </c>
      <c r="D110" s="2">
        <v>3</v>
      </c>
      <c r="E110" s="7">
        <f t="shared" si="1"/>
        <v>0.65</v>
      </c>
      <c r="F110" s="7">
        <v>1.95</v>
      </c>
      <c r="G110" s="7">
        <v>0</v>
      </c>
      <c r="H110" s="7">
        <v>0.3</v>
      </c>
      <c r="I110" s="7">
        <v>1.89</v>
      </c>
      <c r="J110" s="7">
        <v>2.25</v>
      </c>
    </row>
    <row r="111" spans="1:10">
      <c r="A111" s="5">
        <v>46295</v>
      </c>
      <c r="B111" t="s">
        <v>24</v>
      </c>
      <c r="C111" s="8" t="s">
        <v>93</v>
      </c>
      <c r="D111" s="2">
        <v>1</v>
      </c>
      <c r="E111" s="7">
        <f t="shared" si="1"/>
        <v>0.65</v>
      </c>
      <c r="F111" s="7">
        <v>0.65</v>
      </c>
      <c r="G111" s="7">
        <v>0</v>
      </c>
      <c r="H111" s="7">
        <v>0.1</v>
      </c>
      <c r="I111" s="7">
        <v>0.63</v>
      </c>
      <c r="J111" s="7">
        <v>0.75</v>
      </c>
    </row>
    <row r="112" spans="1:10">
      <c r="A112" s="5">
        <v>46295</v>
      </c>
      <c r="B112" t="s">
        <v>24</v>
      </c>
      <c r="C112" s="8" t="s">
        <v>227</v>
      </c>
      <c r="D112" s="2">
        <v>1</v>
      </c>
      <c r="E112" s="7">
        <f t="shared" si="1"/>
        <v>4.33</v>
      </c>
      <c r="F112" s="7">
        <v>4.33</v>
      </c>
      <c r="G112" s="7">
        <v>0</v>
      </c>
      <c r="H112" s="7">
        <v>0.67</v>
      </c>
      <c r="I112" s="7">
        <v>1.68</v>
      </c>
      <c r="J112" s="7">
        <v>5</v>
      </c>
    </row>
    <row r="113" spans="1:10">
      <c r="A113" s="5">
        <v>46295</v>
      </c>
      <c r="B113" t="s">
        <v>24</v>
      </c>
      <c r="C113" s="8" t="s">
        <v>199</v>
      </c>
      <c r="D113" s="2">
        <v>8</v>
      </c>
      <c r="E113" s="7">
        <f t="shared" si="1"/>
        <v>0.81</v>
      </c>
      <c r="F113" s="7">
        <v>6.48</v>
      </c>
      <c r="G113" s="7">
        <v>0</v>
      </c>
      <c r="H113" s="7">
        <v>1.01</v>
      </c>
      <c r="I113" s="7">
        <v>3</v>
      </c>
      <c r="J113" s="7">
        <v>7.49</v>
      </c>
    </row>
    <row r="114" spans="1:10">
      <c r="A114" s="5">
        <v>46295</v>
      </c>
      <c r="B114" t="s">
        <v>24</v>
      </c>
      <c r="C114" s="8" t="s">
        <v>54</v>
      </c>
      <c r="D114" s="2">
        <v>2</v>
      </c>
      <c r="E114" s="7">
        <f t="shared" si="1"/>
        <v>0.38</v>
      </c>
      <c r="F114" s="7">
        <v>0.76</v>
      </c>
      <c r="G114" s="7">
        <v>0</v>
      </c>
      <c r="H114" s="7">
        <v>0.12</v>
      </c>
      <c r="I114" s="7">
        <v>0.6</v>
      </c>
      <c r="J114" s="7">
        <v>0.88</v>
      </c>
    </row>
    <row r="115" spans="1:10">
      <c r="A115" s="5">
        <v>46295</v>
      </c>
      <c r="B115" t="s">
        <v>24</v>
      </c>
      <c r="C115" s="8" t="s">
        <v>114</v>
      </c>
      <c r="D115" s="2">
        <v>12</v>
      </c>
      <c r="E115" s="7">
        <f t="shared" si="1"/>
        <v>1.08</v>
      </c>
      <c r="F115" s="7">
        <v>12.96</v>
      </c>
      <c r="G115" s="7">
        <v>0</v>
      </c>
      <c r="H115" s="7">
        <v>2.04</v>
      </c>
      <c r="I115" s="7">
        <v>3.08</v>
      </c>
      <c r="J115" s="7">
        <v>15</v>
      </c>
    </row>
    <row r="116" spans="1:10">
      <c r="A116" s="5">
        <v>46295</v>
      </c>
      <c r="B116" t="s">
        <v>24</v>
      </c>
      <c r="C116" s="8" t="s">
        <v>82</v>
      </c>
      <c r="D116" s="2">
        <v>6</v>
      </c>
      <c r="E116" s="7">
        <f t="shared" si="1"/>
        <v>1.08</v>
      </c>
      <c r="F116" s="7">
        <v>6.48</v>
      </c>
      <c r="G116" s="7">
        <v>0</v>
      </c>
      <c r="H116" s="7">
        <v>1.02</v>
      </c>
      <c r="I116" s="7">
        <v>1.55</v>
      </c>
      <c r="J116" s="7">
        <v>7.5</v>
      </c>
    </row>
    <row r="117" spans="1:10">
      <c r="A117" s="5">
        <v>46295</v>
      </c>
      <c r="B117" t="s">
        <v>24</v>
      </c>
      <c r="C117" s="8" t="s">
        <v>216</v>
      </c>
      <c r="D117" s="2">
        <v>8</v>
      </c>
      <c r="E117" s="7">
        <f t="shared" si="1"/>
        <v>0.81</v>
      </c>
      <c r="F117" s="7">
        <v>6.48</v>
      </c>
      <c r="G117" s="7">
        <v>0</v>
      </c>
      <c r="H117" s="7">
        <v>1.03</v>
      </c>
      <c r="I117" s="7">
        <v>6.24</v>
      </c>
      <c r="J117" s="7">
        <v>7.51</v>
      </c>
    </row>
    <row r="118" spans="1:10">
      <c r="A118" s="5">
        <v>46295</v>
      </c>
      <c r="B118" t="s">
        <v>24</v>
      </c>
      <c r="C118" s="8" t="s">
        <v>48</v>
      </c>
      <c r="D118" s="2">
        <v>3</v>
      </c>
      <c r="E118" s="7">
        <f t="shared" si="1"/>
        <v>4.9999999999999996E-2</v>
      </c>
      <c r="F118" s="7">
        <v>0.15</v>
      </c>
      <c r="G118" s="7">
        <v>0</v>
      </c>
      <c r="H118" s="7">
        <v>0.02</v>
      </c>
      <c r="I118" s="7">
        <v>7.0000000000000007E-2</v>
      </c>
      <c r="J118" s="7">
        <v>0.17</v>
      </c>
    </row>
    <row r="119" spans="1:10">
      <c r="A119" s="5">
        <v>46295</v>
      </c>
      <c r="B119" t="s">
        <v>24</v>
      </c>
      <c r="C119" s="8" t="s">
        <v>60</v>
      </c>
      <c r="D119" s="2">
        <v>9</v>
      </c>
      <c r="E119" s="7">
        <f t="shared" si="1"/>
        <v>0.31</v>
      </c>
      <c r="F119" s="7">
        <v>2.79</v>
      </c>
      <c r="G119" s="7">
        <v>0</v>
      </c>
      <c r="H119" s="7">
        <v>0</v>
      </c>
      <c r="I119" s="7">
        <v>2.7</v>
      </c>
      <c r="J119" s="7">
        <v>2.79</v>
      </c>
    </row>
    <row r="120" spans="1:10">
      <c r="A120" s="5">
        <v>46295</v>
      </c>
      <c r="B120" t="s">
        <v>24</v>
      </c>
      <c r="C120" s="8" t="s">
        <v>30</v>
      </c>
      <c r="D120" s="2">
        <v>3</v>
      </c>
      <c r="E120" s="7">
        <f t="shared" si="1"/>
        <v>0.81</v>
      </c>
      <c r="F120" s="7">
        <v>2.4300000000000002</v>
      </c>
      <c r="G120" s="7">
        <v>0</v>
      </c>
      <c r="H120" s="7">
        <v>0.39</v>
      </c>
      <c r="I120" s="7">
        <v>1.29</v>
      </c>
      <c r="J120" s="7">
        <v>2.82</v>
      </c>
    </row>
    <row r="121" spans="1:10">
      <c r="A121" s="5">
        <v>46295</v>
      </c>
      <c r="B121" t="s">
        <v>164</v>
      </c>
      <c r="C121" s="8" t="s">
        <v>232</v>
      </c>
      <c r="D121" s="2">
        <v>10</v>
      </c>
      <c r="E121" s="7">
        <f t="shared" si="1"/>
        <v>0.55000000000000004</v>
      </c>
      <c r="F121" s="7">
        <v>5.5</v>
      </c>
      <c r="G121" s="7">
        <v>0</v>
      </c>
      <c r="H121" s="7">
        <v>0.8</v>
      </c>
      <c r="I121" s="7">
        <v>5.4</v>
      </c>
      <c r="J121" s="7">
        <v>6.3</v>
      </c>
    </row>
    <row r="122" spans="1:10">
      <c r="A122" s="5">
        <v>46295</v>
      </c>
      <c r="B122" t="s">
        <v>164</v>
      </c>
      <c r="C122" s="8" t="s">
        <v>147</v>
      </c>
      <c r="D122" s="2">
        <v>2</v>
      </c>
      <c r="E122" s="7">
        <f t="shared" si="1"/>
        <v>2.16</v>
      </c>
      <c r="F122" s="7">
        <v>4.32</v>
      </c>
      <c r="G122" s="7">
        <v>0</v>
      </c>
      <c r="H122" s="7">
        <v>0.68</v>
      </c>
      <c r="I122" s="7">
        <v>4.18</v>
      </c>
      <c r="J122" s="7">
        <v>5</v>
      </c>
    </row>
    <row r="123" spans="1:10">
      <c r="A123" s="5">
        <v>46295</v>
      </c>
      <c r="B123" t="s">
        <v>164</v>
      </c>
      <c r="C123" s="8" t="s">
        <v>173</v>
      </c>
      <c r="D123" s="2">
        <v>2</v>
      </c>
      <c r="E123" s="7">
        <f t="shared" si="1"/>
        <v>2.16</v>
      </c>
      <c r="F123" s="7">
        <v>4.32</v>
      </c>
      <c r="G123" s="7">
        <v>0</v>
      </c>
      <c r="H123" s="7">
        <v>0.68</v>
      </c>
      <c r="I123" s="7">
        <v>4.16</v>
      </c>
      <c r="J123" s="7">
        <v>5</v>
      </c>
    </row>
    <row r="124" spans="1:10">
      <c r="A124" s="5">
        <v>46295</v>
      </c>
      <c r="B124" t="s">
        <v>164</v>
      </c>
      <c r="C124" s="8" t="s">
        <v>36</v>
      </c>
      <c r="D124" s="2">
        <v>1</v>
      </c>
      <c r="E124" s="7">
        <f t="shared" si="1"/>
        <v>0.81</v>
      </c>
      <c r="F124" s="7">
        <v>0.81</v>
      </c>
      <c r="G124" s="7">
        <v>0</v>
      </c>
      <c r="H124" s="7">
        <v>0.13</v>
      </c>
      <c r="I124" s="7">
        <v>0.38</v>
      </c>
      <c r="J124" s="7">
        <v>0.94</v>
      </c>
    </row>
    <row r="125" spans="1:10">
      <c r="A125" s="5">
        <v>46295</v>
      </c>
      <c r="B125" t="s">
        <v>164</v>
      </c>
      <c r="C125" s="8" t="s">
        <v>64</v>
      </c>
      <c r="D125" s="2">
        <v>2</v>
      </c>
      <c r="E125" s="7">
        <f t="shared" si="1"/>
        <v>1.9</v>
      </c>
      <c r="F125" s="7">
        <v>3.8</v>
      </c>
      <c r="G125" s="7">
        <v>0</v>
      </c>
      <c r="H125" s="7">
        <v>0.57999999999999996</v>
      </c>
      <c r="I125" s="7">
        <v>3.66</v>
      </c>
      <c r="J125" s="7">
        <v>4.38</v>
      </c>
    </row>
    <row r="126" spans="1:10">
      <c r="A126" s="5">
        <v>46295</v>
      </c>
      <c r="B126" t="s">
        <v>164</v>
      </c>
      <c r="C126" s="8" t="s">
        <v>121</v>
      </c>
      <c r="D126" s="2">
        <v>1</v>
      </c>
      <c r="E126" s="7">
        <f t="shared" si="1"/>
        <v>0.81</v>
      </c>
      <c r="F126" s="7">
        <v>0.81</v>
      </c>
      <c r="G126" s="7">
        <v>0</v>
      </c>
      <c r="H126" s="7">
        <v>0.13</v>
      </c>
      <c r="I126" s="7">
        <v>0.79</v>
      </c>
      <c r="J126" s="7">
        <v>0.94</v>
      </c>
    </row>
    <row r="127" spans="1:10">
      <c r="A127" s="5">
        <v>46295</v>
      </c>
      <c r="B127" t="s">
        <v>164</v>
      </c>
      <c r="C127" s="8" t="s">
        <v>110</v>
      </c>
      <c r="D127" s="2">
        <v>10</v>
      </c>
      <c r="E127" s="7">
        <f t="shared" si="1"/>
        <v>1.08</v>
      </c>
      <c r="F127" s="7">
        <v>10.8</v>
      </c>
      <c r="G127" s="7">
        <v>0</v>
      </c>
      <c r="H127" s="7">
        <v>1.7</v>
      </c>
      <c r="I127" s="7">
        <v>2.6</v>
      </c>
      <c r="J127" s="7">
        <v>12.5</v>
      </c>
    </row>
    <row r="128" spans="1:10">
      <c r="A128" s="5">
        <v>46295</v>
      </c>
      <c r="B128" t="s">
        <v>164</v>
      </c>
      <c r="C128" s="8" t="s">
        <v>89</v>
      </c>
      <c r="D128" s="2">
        <v>11</v>
      </c>
      <c r="E128" s="7">
        <f t="shared" si="1"/>
        <v>0.81</v>
      </c>
      <c r="F128" s="7">
        <v>8.91</v>
      </c>
      <c r="G128" s="7">
        <v>0</v>
      </c>
      <c r="H128" s="7">
        <v>1.43</v>
      </c>
      <c r="I128" s="7">
        <v>8.69</v>
      </c>
      <c r="J128" s="7">
        <v>10.34</v>
      </c>
    </row>
    <row r="129" spans="1:10">
      <c r="A129" s="5">
        <v>46295</v>
      </c>
      <c r="B129" t="s">
        <v>164</v>
      </c>
      <c r="C129" s="8" t="s">
        <v>101</v>
      </c>
      <c r="D129" s="2">
        <v>1</v>
      </c>
      <c r="E129" s="7">
        <f t="shared" si="1"/>
        <v>0.81</v>
      </c>
      <c r="F129" s="7">
        <v>0.81</v>
      </c>
      <c r="G129" s="7">
        <v>0</v>
      </c>
      <c r="H129" s="7">
        <v>0.13</v>
      </c>
      <c r="I129" s="7">
        <v>0.39</v>
      </c>
      <c r="J129" s="7">
        <v>0.94</v>
      </c>
    </row>
    <row r="130" spans="1:10">
      <c r="A130" s="5">
        <v>46295</v>
      </c>
      <c r="B130" t="s">
        <v>164</v>
      </c>
      <c r="C130" s="8" t="s">
        <v>144</v>
      </c>
      <c r="D130" s="2">
        <v>3</v>
      </c>
      <c r="E130" s="7">
        <f t="shared" si="1"/>
        <v>1.25</v>
      </c>
      <c r="F130" s="7">
        <v>3.75</v>
      </c>
      <c r="G130" s="7">
        <v>0</v>
      </c>
      <c r="H130" s="7">
        <v>0</v>
      </c>
      <c r="I130" s="7">
        <v>3.63</v>
      </c>
      <c r="J130" s="7">
        <v>3.75</v>
      </c>
    </row>
    <row r="131" spans="1:10">
      <c r="A131" s="5">
        <v>46295</v>
      </c>
      <c r="B131" t="s">
        <v>164</v>
      </c>
      <c r="C131" s="8" t="s">
        <v>326</v>
      </c>
      <c r="D131" s="2">
        <v>1</v>
      </c>
      <c r="E131" s="7">
        <f t="shared" si="1"/>
        <v>1.63</v>
      </c>
      <c r="F131" s="7">
        <v>1.63</v>
      </c>
      <c r="G131" s="7">
        <v>0</v>
      </c>
      <c r="H131" s="7">
        <v>0.25</v>
      </c>
      <c r="I131" s="7">
        <v>1.57</v>
      </c>
      <c r="J131" s="7">
        <v>1.88</v>
      </c>
    </row>
    <row r="132" spans="1:10">
      <c r="A132" s="5">
        <v>46295</v>
      </c>
      <c r="B132" t="s">
        <v>164</v>
      </c>
      <c r="C132" s="8" t="s">
        <v>163</v>
      </c>
      <c r="D132" s="2">
        <v>1</v>
      </c>
      <c r="E132" s="7">
        <f t="shared" si="1"/>
        <v>1.63</v>
      </c>
      <c r="F132" s="7">
        <v>1.63</v>
      </c>
      <c r="G132" s="7">
        <v>0</v>
      </c>
      <c r="H132" s="7">
        <v>0.25</v>
      </c>
      <c r="I132" s="7">
        <v>1.57</v>
      </c>
      <c r="J132" s="7">
        <v>1.88</v>
      </c>
    </row>
    <row r="133" spans="1:10">
      <c r="A133" s="5">
        <v>46295</v>
      </c>
      <c r="B133" t="s">
        <v>164</v>
      </c>
      <c r="C133" s="8" t="s">
        <v>195</v>
      </c>
      <c r="D133" s="2">
        <v>1</v>
      </c>
      <c r="E133" s="7">
        <f t="shared" si="1"/>
        <v>1.08</v>
      </c>
      <c r="F133" s="7">
        <v>1.08</v>
      </c>
      <c r="G133" s="7">
        <v>0</v>
      </c>
      <c r="H133" s="7">
        <v>0.17</v>
      </c>
      <c r="I133" s="7">
        <v>0.43</v>
      </c>
      <c r="J133" s="7">
        <v>1.25</v>
      </c>
    </row>
    <row r="134" spans="1:10">
      <c r="A134" s="5">
        <v>46295</v>
      </c>
      <c r="B134" t="s">
        <v>164</v>
      </c>
      <c r="C134" s="8" t="s">
        <v>85</v>
      </c>
      <c r="D134" s="2">
        <v>1</v>
      </c>
      <c r="E134" s="7">
        <f t="shared" si="1"/>
        <v>1.35</v>
      </c>
      <c r="F134" s="7">
        <v>1.35</v>
      </c>
      <c r="G134" s="7">
        <v>0</v>
      </c>
      <c r="H134" s="7">
        <v>0.21</v>
      </c>
      <c r="I134" s="7">
        <v>1.3</v>
      </c>
      <c r="J134" s="7">
        <v>1.56</v>
      </c>
    </row>
    <row r="135" spans="1:10">
      <c r="A135" s="5">
        <v>46295</v>
      </c>
      <c r="B135" t="s">
        <v>164</v>
      </c>
      <c r="C135" s="8" t="s">
        <v>193</v>
      </c>
      <c r="D135" s="2">
        <v>1</v>
      </c>
      <c r="E135" s="7">
        <f t="shared" si="1"/>
        <v>1.35</v>
      </c>
      <c r="F135" s="7">
        <v>1.35</v>
      </c>
      <c r="G135" s="7">
        <v>0</v>
      </c>
      <c r="H135" s="7">
        <v>0.21</v>
      </c>
      <c r="I135" s="7">
        <v>1.3</v>
      </c>
      <c r="J135" s="7">
        <v>1.56</v>
      </c>
    </row>
    <row r="136" spans="1:10">
      <c r="A136" s="5">
        <v>46295</v>
      </c>
      <c r="B136" t="s">
        <v>164</v>
      </c>
      <c r="C136" s="8" t="s">
        <v>312</v>
      </c>
      <c r="D136" s="2">
        <v>1</v>
      </c>
      <c r="E136" s="7">
        <f t="shared" si="1"/>
        <v>0.55000000000000004</v>
      </c>
      <c r="F136" s="7">
        <v>0.55000000000000004</v>
      </c>
      <c r="G136" s="7">
        <v>0</v>
      </c>
      <c r="H136" s="7">
        <v>0.08</v>
      </c>
      <c r="I136" s="7">
        <v>0.27</v>
      </c>
      <c r="J136" s="7">
        <v>0.63</v>
      </c>
    </row>
    <row r="137" spans="1:10">
      <c r="A137" s="5">
        <v>46295</v>
      </c>
      <c r="B137" t="s">
        <v>164</v>
      </c>
      <c r="C137" s="8" t="s">
        <v>57</v>
      </c>
      <c r="D137" s="2">
        <v>8</v>
      </c>
      <c r="E137" s="7">
        <f t="shared" si="1"/>
        <v>0.27</v>
      </c>
      <c r="F137" s="7">
        <v>2.16</v>
      </c>
      <c r="G137" s="7">
        <v>0</v>
      </c>
      <c r="H137" s="7">
        <v>0.32</v>
      </c>
      <c r="I137" s="7">
        <v>1.52</v>
      </c>
      <c r="J137" s="7">
        <v>2.48</v>
      </c>
    </row>
    <row r="138" spans="1:10">
      <c r="A138" s="5">
        <v>46295</v>
      </c>
      <c r="B138" t="s">
        <v>164</v>
      </c>
      <c r="C138" s="8" t="s">
        <v>69</v>
      </c>
      <c r="D138" s="2">
        <v>1</v>
      </c>
      <c r="E138" s="7">
        <f t="shared" si="1"/>
        <v>1.63</v>
      </c>
      <c r="F138" s="7">
        <v>1.63</v>
      </c>
      <c r="G138" s="7">
        <v>0</v>
      </c>
      <c r="H138" s="7">
        <v>0.25</v>
      </c>
      <c r="I138" s="7">
        <v>0.17</v>
      </c>
      <c r="J138" s="7">
        <v>1.88</v>
      </c>
    </row>
    <row r="139" spans="1:10">
      <c r="A139" s="5">
        <v>46295</v>
      </c>
      <c r="B139" t="s">
        <v>164</v>
      </c>
      <c r="C139" s="8" t="s">
        <v>97</v>
      </c>
      <c r="D139" s="2">
        <v>1</v>
      </c>
      <c r="E139" s="7">
        <f t="shared" ref="E139:E202" si="2">IFERROR(F139/D139,0)</f>
        <v>1.63</v>
      </c>
      <c r="F139" s="7">
        <v>1.63</v>
      </c>
      <c r="G139" s="7">
        <v>0</v>
      </c>
      <c r="H139" s="7">
        <v>0.25</v>
      </c>
      <c r="I139" s="7">
        <v>1.56</v>
      </c>
      <c r="J139" s="7">
        <v>1.88</v>
      </c>
    </row>
    <row r="140" spans="1:10">
      <c r="A140" s="5">
        <v>46295</v>
      </c>
      <c r="B140" t="s">
        <v>164</v>
      </c>
      <c r="C140" s="8" t="s">
        <v>314</v>
      </c>
      <c r="D140" s="2">
        <v>1</v>
      </c>
      <c r="E140" s="7">
        <f t="shared" si="2"/>
        <v>1.08</v>
      </c>
      <c r="F140" s="7">
        <v>1.08</v>
      </c>
      <c r="G140" s="7">
        <v>0</v>
      </c>
      <c r="H140" s="7">
        <v>0.17</v>
      </c>
      <c r="I140" s="7">
        <v>0.43</v>
      </c>
      <c r="J140" s="7">
        <v>1.25</v>
      </c>
    </row>
    <row r="141" spans="1:10">
      <c r="A141" s="5">
        <v>46295</v>
      </c>
      <c r="B141" t="s">
        <v>164</v>
      </c>
      <c r="C141" s="8" t="s">
        <v>67</v>
      </c>
      <c r="D141" s="2">
        <v>4</v>
      </c>
      <c r="E141" s="7">
        <f t="shared" si="2"/>
        <v>2.19</v>
      </c>
      <c r="F141" s="7">
        <v>8.76</v>
      </c>
      <c r="G141" s="7">
        <v>0</v>
      </c>
      <c r="H141" s="7">
        <v>0</v>
      </c>
      <c r="I141" s="7">
        <v>8.4</v>
      </c>
      <c r="J141" s="7">
        <v>8.76</v>
      </c>
    </row>
    <row r="142" spans="1:10">
      <c r="A142" s="5">
        <v>46295</v>
      </c>
      <c r="B142" t="s">
        <v>164</v>
      </c>
      <c r="C142" s="8" t="s">
        <v>44</v>
      </c>
      <c r="D142" s="2">
        <v>2</v>
      </c>
      <c r="E142" s="7">
        <f t="shared" si="2"/>
        <v>2.19</v>
      </c>
      <c r="F142" s="7">
        <v>4.38</v>
      </c>
      <c r="G142" s="7">
        <v>0</v>
      </c>
      <c r="H142" s="7">
        <v>0</v>
      </c>
      <c r="I142" s="7">
        <v>1.1399999999999999</v>
      </c>
      <c r="J142" s="7">
        <v>4.38</v>
      </c>
    </row>
    <row r="143" spans="1:10">
      <c r="A143" s="5">
        <v>46295</v>
      </c>
      <c r="B143" t="s">
        <v>164</v>
      </c>
      <c r="C143" s="8" t="s">
        <v>338</v>
      </c>
      <c r="D143" s="2">
        <v>1</v>
      </c>
      <c r="E143" s="7">
        <f t="shared" si="2"/>
        <v>0.81</v>
      </c>
      <c r="F143" s="7">
        <v>0.81</v>
      </c>
      <c r="G143" s="7">
        <v>0</v>
      </c>
      <c r="H143" s="7">
        <v>0.13</v>
      </c>
      <c r="I143" s="7">
        <v>0.54</v>
      </c>
      <c r="J143" s="7">
        <v>0.94</v>
      </c>
    </row>
    <row r="144" spans="1:10">
      <c r="A144" s="5">
        <v>46295</v>
      </c>
      <c r="B144" t="s">
        <v>164</v>
      </c>
      <c r="C144" s="8" t="s">
        <v>332</v>
      </c>
      <c r="D144" s="2">
        <v>2</v>
      </c>
      <c r="E144" s="7">
        <f t="shared" si="2"/>
        <v>0.55000000000000004</v>
      </c>
      <c r="F144" s="7">
        <v>1.1000000000000001</v>
      </c>
      <c r="G144" s="7">
        <v>0</v>
      </c>
      <c r="H144" s="7">
        <v>0.16</v>
      </c>
      <c r="I144" s="7">
        <v>1.06</v>
      </c>
      <c r="J144" s="7">
        <v>1.26</v>
      </c>
    </row>
    <row r="145" spans="1:10">
      <c r="A145" s="5">
        <v>46295</v>
      </c>
      <c r="B145" t="s">
        <v>164</v>
      </c>
      <c r="C145" s="8" t="s">
        <v>93</v>
      </c>
      <c r="D145" s="2">
        <v>4</v>
      </c>
      <c r="E145" s="7">
        <f t="shared" si="2"/>
        <v>0.65</v>
      </c>
      <c r="F145" s="7">
        <v>2.6</v>
      </c>
      <c r="G145" s="7">
        <v>0</v>
      </c>
      <c r="H145" s="7">
        <v>0.4</v>
      </c>
      <c r="I145" s="7">
        <v>2.52</v>
      </c>
      <c r="J145" s="7">
        <v>3</v>
      </c>
    </row>
    <row r="146" spans="1:10">
      <c r="A146" s="5">
        <v>46295</v>
      </c>
      <c r="B146" t="s">
        <v>164</v>
      </c>
      <c r="C146" s="8" t="s">
        <v>227</v>
      </c>
      <c r="D146" s="2">
        <v>1</v>
      </c>
      <c r="E146" s="7">
        <f t="shared" si="2"/>
        <v>4.33</v>
      </c>
      <c r="F146" s="7">
        <v>4.33</v>
      </c>
      <c r="G146" s="7">
        <v>0</v>
      </c>
      <c r="H146" s="7">
        <v>0.67</v>
      </c>
      <c r="I146" s="7">
        <v>1.68</v>
      </c>
      <c r="J146" s="7">
        <v>5</v>
      </c>
    </row>
    <row r="147" spans="1:10">
      <c r="A147" s="5">
        <v>46295</v>
      </c>
      <c r="B147" t="s">
        <v>164</v>
      </c>
      <c r="C147" s="8" t="s">
        <v>320</v>
      </c>
      <c r="D147" s="2">
        <v>1</v>
      </c>
      <c r="E147" s="7">
        <f t="shared" si="2"/>
        <v>4.33</v>
      </c>
      <c r="F147" s="7">
        <v>4.33</v>
      </c>
      <c r="G147" s="7">
        <v>0</v>
      </c>
      <c r="H147" s="7">
        <v>0.67</v>
      </c>
      <c r="I147" s="7">
        <v>1.68</v>
      </c>
      <c r="J147" s="7">
        <v>5</v>
      </c>
    </row>
    <row r="148" spans="1:10">
      <c r="A148" s="5">
        <v>46295</v>
      </c>
      <c r="B148" t="s">
        <v>164</v>
      </c>
      <c r="C148" s="8" t="s">
        <v>345</v>
      </c>
      <c r="D148" s="2">
        <v>1</v>
      </c>
      <c r="E148" s="7">
        <f t="shared" si="2"/>
        <v>0.38</v>
      </c>
      <c r="F148" s="7">
        <v>0.38</v>
      </c>
      <c r="G148" s="7">
        <v>0</v>
      </c>
      <c r="H148" s="7">
        <v>0.06</v>
      </c>
      <c r="I148" s="7">
        <v>0.37</v>
      </c>
      <c r="J148" s="7">
        <v>0.44</v>
      </c>
    </row>
    <row r="149" spans="1:10">
      <c r="A149" s="5">
        <v>46295</v>
      </c>
      <c r="B149" t="s">
        <v>164</v>
      </c>
      <c r="C149" s="8" t="s">
        <v>54</v>
      </c>
      <c r="D149" s="2">
        <v>10</v>
      </c>
      <c r="E149" s="7">
        <f t="shared" si="2"/>
        <v>0.38</v>
      </c>
      <c r="F149" s="7">
        <v>3.8</v>
      </c>
      <c r="G149" s="7">
        <v>0</v>
      </c>
      <c r="H149" s="7">
        <v>0.6</v>
      </c>
      <c r="I149" s="7">
        <v>3</v>
      </c>
      <c r="J149" s="7">
        <v>4.4000000000000004</v>
      </c>
    </row>
    <row r="150" spans="1:10">
      <c r="A150" s="5">
        <v>46295</v>
      </c>
      <c r="B150" t="s">
        <v>164</v>
      </c>
      <c r="C150" s="8" t="s">
        <v>114</v>
      </c>
      <c r="D150" s="2">
        <v>4</v>
      </c>
      <c r="E150" s="7">
        <f t="shared" si="2"/>
        <v>1.08</v>
      </c>
      <c r="F150" s="7">
        <v>4.32</v>
      </c>
      <c r="G150" s="7">
        <v>0</v>
      </c>
      <c r="H150" s="7">
        <v>0.68</v>
      </c>
      <c r="I150" s="7">
        <v>1.04</v>
      </c>
      <c r="J150" s="7">
        <v>5</v>
      </c>
    </row>
    <row r="151" spans="1:10">
      <c r="A151" s="5">
        <v>46295</v>
      </c>
      <c r="B151" t="s">
        <v>164</v>
      </c>
      <c r="C151" s="8" t="s">
        <v>82</v>
      </c>
      <c r="D151" s="2">
        <v>4</v>
      </c>
      <c r="E151" s="7">
        <f t="shared" si="2"/>
        <v>1.08</v>
      </c>
      <c r="F151" s="7">
        <v>4.32</v>
      </c>
      <c r="G151" s="7">
        <v>0</v>
      </c>
      <c r="H151" s="7">
        <v>0.68</v>
      </c>
      <c r="I151" s="7">
        <v>1.04</v>
      </c>
      <c r="J151" s="7">
        <v>5</v>
      </c>
    </row>
    <row r="152" spans="1:10">
      <c r="A152" s="5">
        <v>46295</v>
      </c>
      <c r="B152" t="s">
        <v>164</v>
      </c>
      <c r="C152" s="8" t="s">
        <v>341</v>
      </c>
      <c r="D152" s="2">
        <v>1</v>
      </c>
      <c r="E152" s="7">
        <f t="shared" si="2"/>
        <v>2.16</v>
      </c>
      <c r="F152" s="7">
        <v>2.16</v>
      </c>
      <c r="G152" s="7">
        <v>0</v>
      </c>
      <c r="H152" s="7">
        <v>0.34</v>
      </c>
      <c r="I152" s="7">
        <v>2.09</v>
      </c>
      <c r="J152" s="7">
        <v>2.5</v>
      </c>
    </row>
    <row r="153" spans="1:10">
      <c r="A153" s="5">
        <v>46295</v>
      </c>
      <c r="B153" t="s">
        <v>164</v>
      </c>
      <c r="C153" s="8" t="s">
        <v>33</v>
      </c>
      <c r="D153" s="2">
        <v>1</v>
      </c>
      <c r="E153" s="7">
        <f t="shared" si="2"/>
        <v>2.16</v>
      </c>
      <c r="F153" s="7">
        <v>2.16</v>
      </c>
      <c r="G153" s="7">
        <v>0</v>
      </c>
      <c r="H153" s="7">
        <v>0.34</v>
      </c>
      <c r="I153" s="7">
        <v>2.09</v>
      </c>
      <c r="J153" s="7">
        <v>2.5</v>
      </c>
    </row>
    <row r="154" spans="1:10">
      <c r="A154" s="5">
        <v>46295</v>
      </c>
      <c r="B154" t="s">
        <v>164</v>
      </c>
      <c r="C154" s="8" t="s">
        <v>128</v>
      </c>
      <c r="D154" s="2">
        <v>1</v>
      </c>
      <c r="E154" s="7">
        <f t="shared" si="2"/>
        <v>2.16</v>
      </c>
      <c r="F154" s="7">
        <v>2.16</v>
      </c>
      <c r="G154" s="7">
        <v>0</v>
      </c>
      <c r="H154" s="7">
        <v>0.34</v>
      </c>
      <c r="I154" s="7">
        <v>2.09</v>
      </c>
      <c r="J154" s="7">
        <v>2.5</v>
      </c>
    </row>
    <row r="155" spans="1:10">
      <c r="A155" s="5">
        <v>46295</v>
      </c>
      <c r="B155" t="s">
        <v>164</v>
      </c>
      <c r="C155" s="8" t="s">
        <v>60</v>
      </c>
      <c r="D155" s="2">
        <v>8</v>
      </c>
      <c r="E155" s="7">
        <f t="shared" si="2"/>
        <v>0.31</v>
      </c>
      <c r="F155" s="7">
        <v>2.48</v>
      </c>
      <c r="G155" s="7">
        <v>0</v>
      </c>
      <c r="H155" s="7">
        <v>0</v>
      </c>
      <c r="I155" s="7">
        <v>2.4</v>
      </c>
      <c r="J155" s="7">
        <v>2.48</v>
      </c>
    </row>
    <row r="156" spans="1:10">
      <c r="A156" s="5">
        <v>46295</v>
      </c>
      <c r="B156" t="s">
        <v>164</v>
      </c>
      <c r="C156" s="8" t="s">
        <v>30</v>
      </c>
      <c r="D156" s="2">
        <v>1</v>
      </c>
      <c r="E156" s="7">
        <f t="shared" si="2"/>
        <v>0.81</v>
      </c>
      <c r="F156" s="7">
        <v>0.81</v>
      </c>
      <c r="G156" s="7">
        <v>0</v>
      </c>
      <c r="H156" s="7">
        <v>0.13</v>
      </c>
      <c r="I156" s="7">
        <v>0.43</v>
      </c>
      <c r="J156" s="7">
        <v>0.94</v>
      </c>
    </row>
    <row r="157" spans="1:10">
      <c r="A157" s="5">
        <v>46296</v>
      </c>
      <c r="B157" t="s">
        <v>24</v>
      </c>
      <c r="C157" s="8" t="s">
        <v>232</v>
      </c>
      <c r="D157" s="2">
        <v>12</v>
      </c>
      <c r="E157" s="7">
        <f t="shared" si="2"/>
        <v>0.54999999999999993</v>
      </c>
      <c r="F157" s="7">
        <v>6.6</v>
      </c>
      <c r="G157" s="7">
        <v>0</v>
      </c>
      <c r="H157" s="7">
        <v>0.99</v>
      </c>
      <c r="I157" s="7">
        <v>6.47</v>
      </c>
      <c r="J157" s="7">
        <v>7.59</v>
      </c>
    </row>
    <row r="158" spans="1:10">
      <c r="A158" s="5">
        <v>46296</v>
      </c>
      <c r="B158" t="s">
        <v>24</v>
      </c>
      <c r="C158" s="8" t="s">
        <v>271</v>
      </c>
      <c r="D158" s="2">
        <v>2</v>
      </c>
      <c r="E158" s="7">
        <f t="shared" si="2"/>
        <v>1.35</v>
      </c>
      <c r="F158" s="7">
        <v>2.7</v>
      </c>
      <c r="G158" s="7">
        <v>0</v>
      </c>
      <c r="H158" s="7">
        <v>0.42</v>
      </c>
      <c r="I158" s="7">
        <v>0.9</v>
      </c>
      <c r="J158" s="7">
        <v>3.12</v>
      </c>
    </row>
    <row r="159" spans="1:10">
      <c r="A159" s="5">
        <v>46296</v>
      </c>
      <c r="B159" t="s">
        <v>24</v>
      </c>
      <c r="C159" s="8" t="s">
        <v>152</v>
      </c>
      <c r="D159" s="2">
        <v>1</v>
      </c>
      <c r="E159" s="7">
        <f t="shared" si="2"/>
        <v>0.27</v>
      </c>
      <c r="F159" s="7">
        <v>0.27</v>
      </c>
      <c r="G159" s="7">
        <v>0</v>
      </c>
      <c r="H159" s="7">
        <v>0.04</v>
      </c>
      <c r="I159" s="7">
        <v>0.14000000000000001</v>
      </c>
      <c r="J159" s="7">
        <v>0.31</v>
      </c>
    </row>
    <row r="160" spans="1:10">
      <c r="A160" s="5">
        <v>46296</v>
      </c>
      <c r="B160" t="s">
        <v>24</v>
      </c>
      <c r="C160" s="8" t="s">
        <v>39</v>
      </c>
      <c r="D160" s="2">
        <v>32</v>
      </c>
      <c r="E160" s="7">
        <f t="shared" si="2"/>
        <v>0.03</v>
      </c>
      <c r="F160" s="7">
        <v>0.96</v>
      </c>
      <c r="G160" s="7">
        <v>0</v>
      </c>
      <c r="H160" s="7">
        <v>0.13</v>
      </c>
      <c r="I160" s="7">
        <v>0.32</v>
      </c>
      <c r="J160" s="7">
        <v>1.0900000000000001</v>
      </c>
    </row>
    <row r="161" spans="1:10">
      <c r="A161" s="5">
        <v>46296</v>
      </c>
      <c r="B161" t="s">
        <v>24</v>
      </c>
      <c r="C161" s="8" t="s">
        <v>147</v>
      </c>
      <c r="D161" s="2">
        <v>1</v>
      </c>
      <c r="E161" s="7">
        <f t="shared" si="2"/>
        <v>2.16</v>
      </c>
      <c r="F161" s="7">
        <v>2.16</v>
      </c>
      <c r="G161" s="7">
        <v>0</v>
      </c>
      <c r="H161" s="7">
        <v>0.34</v>
      </c>
      <c r="I161" s="7">
        <v>2.09</v>
      </c>
      <c r="J161" s="7">
        <v>2.5</v>
      </c>
    </row>
    <row r="162" spans="1:10">
      <c r="A162" s="5">
        <v>46296</v>
      </c>
      <c r="B162" t="s">
        <v>24</v>
      </c>
      <c r="C162" s="8" t="s">
        <v>393</v>
      </c>
      <c r="D162" s="2">
        <v>1</v>
      </c>
      <c r="E162" s="7">
        <f t="shared" si="2"/>
        <v>4.87</v>
      </c>
      <c r="F162" s="7">
        <v>4.87</v>
      </c>
      <c r="G162" s="7">
        <v>0</v>
      </c>
      <c r="H162" s="7">
        <v>0.76</v>
      </c>
      <c r="I162" s="7">
        <v>4.68</v>
      </c>
      <c r="J162" s="7">
        <v>5.63</v>
      </c>
    </row>
    <row r="163" spans="1:10">
      <c r="A163" s="5">
        <v>46296</v>
      </c>
      <c r="B163" t="s">
        <v>24</v>
      </c>
      <c r="C163" s="8" t="s">
        <v>36</v>
      </c>
      <c r="D163" s="2">
        <v>3</v>
      </c>
      <c r="E163" s="7">
        <f t="shared" si="2"/>
        <v>0.81</v>
      </c>
      <c r="F163" s="7">
        <v>2.4300000000000002</v>
      </c>
      <c r="G163" s="7">
        <v>0</v>
      </c>
      <c r="H163" s="7">
        <v>0.39</v>
      </c>
      <c r="I163" s="7">
        <v>1.1399999999999999</v>
      </c>
      <c r="J163" s="7">
        <v>2.82</v>
      </c>
    </row>
    <row r="164" spans="1:10">
      <c r="A164" s="5">
        <v>46296</v>
      </c>
      <c r="B164" t="s">
        <v>24</v>
      </c>
      <c r="C164" s="8" t="s">
        <v>64</v>
      </c>
      <c r="D164" s="2">
        <v>1</v>
      </c>
      <c r="E164" s="7">
        <f t="shared" si="2"/>
        <v>1.9</v>
      </c>
      <c r="F164" s="7">
        <v>1.9</v>
      </c>
      <c r="G164" s="7">
        <v>0</v>
      </c>
      <c r="H164" s="7">
        <v>0.28999999999999998</v>
      </c>
      <c r="I164" s="7">
        <v>1.83</v>
      </c>
      <c r="J164" s="7">
        <v>2.19</v>
      </c>
    </row>
    <row r="165" spans="1:10">
      <c r="A165" s="5">
        <v>46296</v>
      </c>
      <c r="B165" t="s">
        <v>24</v>
      </c>
      <c r="C165" s="8" t="s">
        <v>99</v>
      </c>
      <c r="D165" s="2">
        <v>2</v>
      </c>
      <c r="E165" s="7">
        <f t="shared" si="2"/>
        <v>0.81</v>
      </c>
      <c r="F165" s="7">
        <v>1.62</v>
      </c>
      <c r="G165" s="7">
        <v>0</v>
      </c>
      <c r="H165" s="7">
        <v>0.26</v>
      </c>
      <c r="I165" s="7">
        <v>1.58</v>
      </c>
      <c r="J165" s="7">
        <v>1.88</v>
      </c>
    </row>
    <row r="166" spans="1:10">
      <c r="A166" s="5">
        <v>46296</v>
      </c>
      <c r="B166" t="s">
        <v>24</v>
      </c>
      <c r="C166" s="8" t="s">
        <v>121</v>
      </c>
      <c r="D166" s="2">
        <v>1</v>
      </c>
      <c r="E166" s="7">
        <f t="shared" si="2"/>
        <v>0.81</v>
      </c>
      <c r="F166" s="7">
        <v>0.81</v>
      </c>
      <c r="G166" s="7">
        <v>0</v>
      </c>
      <c r="H166" s="7">
        <v>0.13</v>
      </c>
      <c r="I166" s="7">
        <v>0.79</v>
      </c>
      <c r="J166" s="7">
        <v>0.94</v>
      </c>
    </row>
    <row r="167" spans="1:10">
      <c r="A167" s="5">
        <v>46296</v>
      </c>
      <c r="B167" t="s">
        <v>24</v>
      </c>
      <c r="C167" s="8" t="s">
        <v>110</v>
      </c>
      <c r="D167" s="2">
        <v>6</v>
      </c>
      <c r="E167" s="7">
        <f t="shared" si="2"/>
        <v>1.08</v>
      </c>
      <c r="F167" s="7">
        <v>6.48</v>
      </c>
      <c r="G167" s="7">
        <v>0</v>
      </c>
      <c r="H167" s="7">
        <v>1.02</v>
      </c>
      <c r="I167" s="7">
        <v>1.54</v>
      </c>
      <c r="J167" s="7">
        <v>7.5</v>
      </c>
    </row>
    <row r="168" spans="1:10">
      <c r="A168" s="5">
        <v>46296</v>
      </c>
      <c r="B168" t="s">
        <v>24</v>
      </c>
      <c r="C168" s="8" t="s">
        <v>237</v>
      </c>
      <c r="D168" s="2">
        <v>2</v>
      </c>
      <c r="E168" s="7">
        <f t="shared" si="2"/>
        <v>5.14</v>
      </c>
      <c r="F168" s="7">
        <v>10.28</v>
      </c>
      <c r="G168" s="7">
        <v>0</v>
      </c>
      <c r="H168" s="7">
        <v>1.59</v>
      </c>
      <c r="I168" s="7">
        <v>2.36</v>
      </c>
      <c r="J168" s="7">
        <v>11.87</v>
      </c>
    </row>
    <row r="169" spans="1:10">
      <c r="A169" s="5">
        <v>46296</v>
      </c>
      <c r="B169" t="s">
        <v>24</v>
      </c>
      <c r="C169" s="8" t="s">
        <v>89</v>
      </c>
      <c r="D169" s="2">
        <v>1</v>
      </c>
      <c r="E169" s="7">
        <f t="shared" si="2"/>
        <v>0.81</v>
      </c>
      <c r="F169" s="7">
        <v>0.81</v>
      </c>
      <c r="G169" s="7">
        <v>0</v>
      </c>
      <c r="H169" s="7">
        <v>0.13</v>
      </c>
      <c r="I169" s="7">
        <v>0.79</v>
      </c>
      <c r="J169" s="7">
        <v>0.94</v>
      </c>
    </row>
    <row r="170" spans="1:10">
      <c r="A170" s="5">
        <v>46296</v>
      </c>
      <c r="B170" t="s">
        <v>24</v>
      </c>
      <c r="C170" s="8" t="s">
        <v>101</v>
      </c>
      <c r="D170" s="2">
        <v>2</v>
      </c>
      <c r="E170" s="7">
        <f t="shared" si="2"/>
        <v>0.81</v>
      </c>
      <c r="F170" s="7">
        <v>1.62</v>
      </c>
      <c r="G170" s="7">
        <v>0</v>
      </c>
      <c r="H170" s="7">
        <v>0.25</v>
      </c>
      <c r="I170" s="7">
        <v>0.79</v>
      </c>
      <c r="J170" s="7">
        <v>1.87</v>
      </c>
    </row>
    <row r="171" spans="1:10">
      <c r="A171" s="5">
        <v>46296</v>
      </c>
      <c r="B171" t="s">
        <v>24</v>
      </c>
      <c r="C171" s="8" t="s">
        <v>410</v>
      </c>
      <c r="D171" s="2">
        <v>1</v>
      </c>
      <c r="E171" s="7">
        <f t="shared" si="2"/>
        <v>1.63</v>
      </c>
      <c r="F171" s="7">
        <v>1.63</v>
      </c>
      <c r="G171" s="7">
        <v>0</v>
      </c>
      <c r="H171" s="7">
        <v>0.25</v>
      </c>
      <c r="I171" s="7">
        <v>0.73</v>
      </c>
      <c r="J171" s="7">
        <v>1.88</v>
      </c>
    </row>
    <row r="172" spans="1:10">
      <c r="A172" s="5">
        <v>46296</v>
      </c>
      <c r="B172" t="s">
        <v>24</v>
      </c>
      <c r="C172" s="8" t="s">
        <v>230</v>
      </c>
      <c r="D172" s="2">
        <v>6</v>
      </c>
      <c r="E172" s="7">
        <f t="shared" si="2"/>
        <v>0.81</v>
      </c>
      <c r="F172" s="7">
        <v>4.8600000000000003</v>
      </c>
      <c r="G172" s="7">
        <v>0</v>
      </c>
      <c r="H172" s="7">
        <v>0.78</v>
      </c>
      <c r="I172" s="7">
        <v>4.74</v>
      </c>
      <c r="J172" s="7">
        <v>5.64</v>
      </c>
    </row>
    <row r="173" spans="1:10">
      <c r="A173" s="5">
        <v>46296</v>
      </c>
      <c r="B173" t="s">
        <v>24</v>
      </c>
      <c r="C173" s="8" t="s">
        <v>144</v>
      </c>
      <c r="D173" s="2">
        <v>11</v>
      </c>
      <c r="E173" s="7">
        <f t="shared" si="2"/>
        <v>1.25</v>
      </c>
      <c r="F173" s="7">
        <v>13.75</v>
      </c>
      <c r="G173" s="7">
        <v>0</v>
      </c>
      <c r="H173" s="7">
        <v>0</v>
      </c>
      <c r="I173" s="7">
        <v>13.31</v>
      </c>
      <c r="J173" s="7">
        <v>13.75</v>
      </c>
    </row>
    <row r="174" spans="1:10">
      <c r="A174" s="5">
        <v>46296</v>
      </c>
      <c r="B174" t="s">
        <v>24</v>
      </c>
      <c r="C174" s="8" t="s">
        <v>219</v>
      </c>
      <c r="D174" s="2">
        <v>1</v>
      </c>
      <c r="E174" s="7">
        <f t="shared" si="2"/>
        <v>1.9</v>
      </c>
      <c r="F174" s="7">
        <v>1.9</v>
      </c>
      <c r="G174" s="7">
        <v>0</v>
      </c>
      <c r="H174" s="7">
        <v>0.28999999999999998</v>
      </c>
      <c r="I174" s="7">
        <v>1.84</v>
      </c>
      <c r="J174" s="7">
        <v>2.19</v>
      </c>
    </row>
    <row r="175" spans="1:10">
      <c r="A175" s="5">
        <v>46296</v>
      </c>
      <c r="B175" t="s">
        <v>24</v>
      </c>
      <c r="C175" s="8" t="s">
        <v>150</v>
      </c>
      <c r="D175" s="2">
        <v>1</v>
      </c>
      <c r="E175" s="7">
        <f t="shared" si="2"/>
        <v>0.55000000000000004</v>
      </c>
      <c r="F175" s="7">
        <v>0.55000000000000004</v>
      </c>
      <c r="G175" s="7">
        <v>0</v>
      </c>
      <c r="H175" s="7">
        <v>0.08</v>
      </c>
      <c r="I175" s="7">
        <v>0.54</v>
      </c>
      <c r="J175" s="7">
        <v>0.63</v>
      </c>
    </row>
    <row r="176" spans="1:10">
      <c r="A176" s="5">
        <v>46296</v>
      </c>
      <c r="B176" t="s">
        <v>24</v>
      </c>
      <c r="C176" s="8" t="s">
        <v>377</v>
      </c>
      <c r="D176" s="2">
        <v>1</v>
      </c>
      <c r="E176" s="7">
        <f t="shared" si="2"/>
        <v>1.08</v>
      </c>
      <c r="F176" s="7">
        <v>1.08</v>
      </c>
      <c r="G176" s="7">
        <v>0</v>
      </c>
      <c r="H176" s="7">
        <v>0.17</v>
      </c>
      <c r="I176" s="7">
        <v>0.66</v>
      </c>
      <c r="J176" s="7">
        <v>1.25</v>
      </c>
    </row>
    <row r="177" spans="1:10">
      <c r="A177" s="5">
        <v>46296</v>
      </c>
      <c r="B177" t="s">
        <v>24</v>
      </c>
      <c r="C177" s="8" t="s">
        <v>251</v>
      </c>
      <c r="D177" s="2">
        <v>4</v>
      </c>
      <c r="E177" s="7">
        <f t="shared" si="2"/>
        <v>1.35</v>
      </c>
      <c r="F177" s="7">
        <v>5.4</v>
      </c>
      <c r="G177" s="7">
        <v>0</v>
      </c>
      <c r="H177" s="7">
        <v>0.84</v>
      </c>
      <c r="I177" s="7">
        <v>5.2</v>
      </c>
      <c r="J177" s="7">
        <v>6.24</v>
      </c>
    </row>
    <row r="178" spans="1:10">
      <c r="A178" s="5">
        <v>46296</v>
      </c>
      <c r="B178" t="s">
        <v>24</v>
      </c>
      <c r="C178" s="8" t="s">
        <v>225</v>
      </c>
      <c r="D178" s="2">
        <v>1</v>
      </c>
      <c r="E178" s="7">
        <f t="shared" si="2"/>
        <v>0.81</v>
      </c>
      <c r="F178" s="7">
        <v>0.81</v>
      </c>
      <c r="G178" s="7">
        <v>0</v>
      </c>
      <c r="H178" s="7">
        <v>0.13</v>
      </c>
      <c r="I178" s="7">
        <v>0.79</v>
      </c>
      <c r="J178" s="7">
        <v>0.94</v>
      </c>
    </row>
    <row r="179" spans="1:10">
      <c r="A179" s="5">
        <v>46296</v>
      </c>
      <c r="B179" t="s">
        <v>24</v>
      </c>
      <c r="C179" s="8" t="s">
        <v>193</v>
      </c>
      <c r="D179" s="2">
        <v>1</v>
      </c>
      <c r="E179" s="7">
        <f t="shared" si="2"/>
        <v>1.35</v>
      </c>
      <c r="F179" s="7">
        <v>1.35</v>
      </c>
      <c r="G179" s="7">
        <v>0</v>
      </c>
      <c r="H179" s="7">
        <v>0.21</v>
      </c>
      <c r="I179" s="7">
        <v>1.3</v>
      </c>
      <c r="J179" s="7">
        <v>1.56</v>
      </c>
    </row>
    <row r="180" spans="1:10">
      <c r="A180" s="5">
        <v>46296</v>
      </c>
      <c r="B180" t="s">
        <v>24</v>
      </c>
      <c r="C180" s="8" t="s">
        <v>423</v>
      </c>
      <c r="D180" s="2">
        <v>1</v>
      </c>
      <c r="E180" s="7">
        <f t="shared" si="2"/>
        <v>0.65</v>
      </c>
      <c r="F180" s="7">
        <v>0.65</v>
      </c>
      <c r="G180" s="7">
        <v>0</v>
      </c>
      <c r="H180" s="7">
        <v>0.1</v>
      </c>
      <c r="I180" s="7">
        <v>0.61</v>
      </c>
      <c r="J180" s="7">
        <v>0.75</v>
      </c>
    </row>
    <row r="181" spans="1:10">
      <c r="A181" s="5">
        <v>46296</v>
      </c>
      <c r="B181" t="s">
        <v>24</v>
      </c>
      <c r="C181" s="8" t="s">
        <v>57</v>
      </c>
      <c r="D181" s="2">
        <v>1</v>
      </c>
      <c r="E181" s="7">
        <f t="shared" si="2"/>
        <v>0.27</v>
      </c>
      <c r="F181" s="7">
        <v>0.27</v>
      </c>
      <c r="G181" s="7">
        <v>0</v>
      </c>
      <c r="H181" s="7">
        <v>0.04</v>
      </c>
      <c r="I181" s="7">
        <v>0.19</v>
      </c>
      <c r="J181" s="7">
        <v>0.31</v>
      </c>
    </row>
    <row r="182" spans="1:10">
      <c r="A182" s="5">
        <v>46296</v>
      </c>
      <c r="B182" t="s">
        <v>24</v>
      </c>
      <c r="C182" s="8" t="s">
        <v>141</v>
      </c>
      <c r="D182" s="2">
        <v>3</v>
      </c>
      <c r="E182" s="7">
        <f t="shared" si="2"/>
        <v>0.54999999999999993</v>
      </c>
      <c r="F182" s="7">
        <v>1.65</v>
      </c>
      <c r="G182" s="7">
        <v>0</v>
      </c>
      <c r="H182" s="7">
        <v>0.25</v>
      </c>
      <c r="I182" s="7">
        <v>1.59</v>
      </c>
      <c r="J182" s="7">
        <v>1.9</v>
      </c>
    </row>
    <row r="183" spans="1:10">
      <c r="A183" s="5">
        <v>46296</v>
      </c>
      <c r="B183" t="s">
        <v>24</v>
      </c>
      <c r="C183" s="8" t="s">
        <v>69</v>
      </c>
      <c r="D183" s="2">
        <v>2</v>
      </c>
      <c r="E183" s="7">
        <f t="shared" si="2"/>
        <v>1.63</v>
      </c>
      <c r="F183" s="7">
        <v>3.26</v>
      </c>
      <c r="G183" s="7">
        <v>0</v>
      </c>
      <c r="H183" s="7">
        <v>0.5</v>
      </c>
      <c r="I183" s="7">
        <v>0.34</v>
      </c>
      <c r="J183" s="7">
        <v>3.76</v>
      </c>
    </row>
    <row r="184" spans="1:10">
      <c r="A184" s="5">
        <v>46296</v>
      </c>
      <c r="B184" t="s">
        <v>24</v>
      </c>
      <c r="C184" s="8" t="s">
        <v>97</v>
      </c>
      <c r="D184" s="2">
        <v>1</v>
      </c>
      <c r="E184" s="7">
        <f t="shared" si="2"/>
        <v>1.63</v>
      </c>
      <c r="F184" s="7">
        <v>1.63</v>
      </c>
      <c r="G184" s="7">
        <v>0</v>
      </c>
      <c r="H184" s="7">
        <v>0.25</v>
      </c>
      <c r="I184" s="7">
        <v>1.56</v>
      </c>
      <c r="J184" s="7">
        <v>1.88</v>
      </c>
    </row>
    <row r="185" spans="1:10">
      <c r="A185" s="5">
        <v>46296</v>
      </c>
      <c r="B185" t="s">
        <v>24</v>
      </c>
      <c r="C185" s="8" t="s">
        <v>389</v>
      </c>
      <c r="D185" s="2">
        <v>2</v>
      </c>
      <c r="E185" s="7">
        <f t="shared" si="2"/>
        <v>1.9</v>
      </c>
      <c r="F185" s="7">
        <v>3.8</v>
      </c>
      <c r="G185" s="7">
        <v>0</v>
      </c>
      <c r="H185" s="7">
        <v>0.57999999999999996</v>
      </c>
      <c r="I185" s="7">
        <v>3.66</v>
      </c>
      <c r="J185" s="7">
        <v>4.38</v>
      </c>
    </row>
    <row r="186" spans="1:10">
      <c r="A186" s="5">
        <v>46296</v>
      </c>
      <c r="B186" t="s">
        <v>24</v>
      </c>
      <c r="C186" s="8" t="s">
        <v>266</v>
      </c>
      <c r="D186" s="2">
        <v>2</v>
      </c>
      <c r="E186" s="7">
        <f t="shared" si="2"/>
        <v>1.9</v>
      </c>
      <c r="F186" s="7">
        <v>3.8</v>
      </c>
      <c r="G186" s="7">
        <v>0</v>
      </c>
      <c r="H186" s="7">
        <v>0.57999999999999996</v>
      </c>
      <c r="I186" s="7">
        <v>1.1399999999999999</v>
      </c>
      <c r="J186" s="7">
        <v>4.38</v>
      </c>
    </row>
    <row r="187" spans="1:10">
      <c r="A187" s="5">
        <v>46296</v>
      </c>
      <c r="B187" t="s">
        <v>24</v>
      </c>
      <c r="C187" s="8" t="s">
        <v>104</v>
      </c>
      <c r="D187" s="2">
        <v>1</v>
      </c>
      <c r="E187" s="7">
        <f t="shared" si="2"/>
        <v>1.35</v>
      </c>
      <c r="F187" s="7">
        <v>1.35</v>
      </c>
      <c r="G187" s="7">
        <v>0</v>
      </c>
      <c r="H187" s="7">
        <v>0.21</v>
      </c>
      <c r="I187" s="7">
        <v>0.5</v>
      </c>
      <c r="J187" s="7">
        <v>1.56</v>
      </c>
    </row>
    <row r="188" spans="1:10">
      <c r="A188" s="5">
        <v>46296</v>
      </c>
      <c r="B188" t="s">
        <v>24</v>
      </c>
      <c r="C188" s="8" t="s">
        <v>291</v>
      </c>
      <c r="D188" s="2">
        <v>2</v>
      </c>
      <c r="E188" s="7">
        <f t="shared" si="2"/>
        <v>0.55000000000000004</v>
      </c>
      <c r="F188" s="7">
        <v>1.1000000000000001</v>
      </c>
      <c r="G188" s="7">
        <v>0</v>
      </c>
      <c r="H188" s="7">
        <v>0.16</v>
      </c>
      <c r="I188" s="7">
        <v>0.48</v>
      </c>
      <c r="J188" s="7">
        <v>1.26</v>
      </c>
    </row>
    <row r="189" spans="1:10">
      <c r="A189" s="5">
        <v>46296</v>
      </c>
      <c r="B189" t="s">
        <v>24</v>
      </c>
      <c r="C189" s="8" t="s">
        <v>212</v>
      </c>
      <c r="D189" s="2">
        <v>1</v>
      </c>
      <c r="E189" s="7">
        <f t="shared" si="2"/>
        <v>1.56</v>
      </c>
      <c r="F189" s="7">
        <v>1.56</v>
      </c>
      <c r="G189" s="7">
        <v>0</v>
      </c>
      <c r="H189" s="7">
        <v>0</v>
      </c>
      <c r="I189" s="7">
        <v>1.51</v>
      </c>
      <c r="J189" s="7">
        <v>1.56</v>
      </c>
    </row>
    <row r="190" spans="1:10">
      <c r="A190" s="5">
        <v>46296</v>
      </c>
      <c r="B190" t="s">
        <v>24</v>
      </c>
      <c r="C190" s="8" t="s">
        <v>352</v>
      </c>
      <c r="D190" s="2">
        <v>1</v>
      </c>
      <c r="E190" s="7">
        <f t="shared" si="2"/>
        <v>4.38</v>
      </c>
      <c r="F190" s="7">
        <v>4.38</v>
      </c>
      <c r="G190" s="7">
        <v>0</v>
      </c>
      <c r="H190" s="7">
        <v>0</v>
      </c>
      <c r="I190" s="7">
        <v>4.2300000000000004</v>
      </c>
      <c r="J190" s="7">
        <v>4.38</v>
      </c>
    </row>
    <row r="191" spans="1:10">
      <c r="A191" s="5">
        <v>46296</v>
      </c>
      <c r="B191" t="s">
        <v>24</v>
      </c>
      <c r="C191" s="8" t="s">
        <v>67</v>
      </c>
      <c r="D191" s="2">
        <v>2</v>
      </c>
      <c r="E191" s="7">
        <f t="shared" si="2"/>
        <v>2.19</v>
      </c>
      <c r="F191" s="7">
        <v>4.38</v>
      </c>
      <c r="G191" s="7">
        <v>0</v>
      </c>
      <c r="H191" s="7">
        <v>0</v>
      </c>
      <c r="I191" s="7">
        <v>4.2</v>
      </c>
      <c r="J191" s="7">
        <v>4.38</v>
      </c>
    </row>
    <row r="192" spans="1:10">
      <c r="A192" s="5">
        <v>46296</v>
      </c>
      <c r="B192" t="s">
        <v>24</v>
      </c>
      <c r="C192" s="8" t="s">
        <v>169</v>
      </c>
      <c r="D192" s="2">
        <v>1</v>
      </c>
      <c r="E192" s="7">
        <f t="shared" si="2"/>
        <v>1.63</v>
      </c>
      <c r="F192" s="7">
        <v>1.63</v>
      </c>
      <c r="G192" s="7">
        <v>0</v>
      </c>
      <c r="H192" s="7">
        <v>0.25</v>
      </c>
      <c r="I192" s="7">
        <v>1.58</v>
      </c>
      <c r="J192" s="7">
        <v>1.88</v>
      </c>
    </row>
    <row r="193" spans="1:10">
      <c r="A193" s="5">
        <v>46296</v>
      </c>
      <c r="B193" t="s">
        <v>24</v>
      </c>
      <c r="C193" s="8" t="s">
        <v>332</v>
      </c>
      <c r="D193" s="2">
        <v>1</v>
      </c>
      <c r="E193" s="7">
        <f t="shared" si="2"/>
        <v>0.55000000000000004</v>
      </c>
      <c r="F193" s="7">
        <v>0.55000000000000004</v>
      </c>
      <c r="G193" s="7">
        <v>0</v>
      </c>
      <c r="H193" s="7">
        <v>0.08</v>
      </c>
      <c r="I193" s="7">
        <v>0.53</v>
      </c>
      <c r="J193" s="7">
        <v>0.63</v>
      </c>
    </row>
    <row r="194" spans="1:10">
      <c r="A194" s="5">
        <v>46296</v>
      </c>
      <c r="B194" t="s">
        <v>24</v>
      </c>
      <c r="C194" s="8" t="s">
        <v>77</v>
      </c>
      <c r="D194" s="2">
        <v>1</v>
      </c>
      <c r="E194" s="7">
        <f t="shared" si="2"/>
        <v>0.65</v>
      </c>
      <c r="F194" s="7">
        <v>0.65</v>
      </c>
      <c r="G194" s="7">
        <v>0</v>
      </c>
      <c r="H194" s="7">
        <v>0.1</v>
      </c>
      <c r="I194" s="7">
        <v>0.63</v>
      </c>
      <c r="J194" s="7">
        <v>0.75</v>
      </c>
    </row>
    <row r="195" spans="1:10">
      <c r="A195" s="5">
        <v>46296</v>
      </c>
      <c r="B195" t="s">
        <v>24</v>
      </c>
      <c r="C195" s="8" t="s">
        <v>93</v>
      </c>
      <c r="D195" s="2">
        <v>7</v>
      </c>
      <c r="E195" s="7">
        <f t="shared" si="2"/>
        <v>0.65</v>
      </c>
      <c r="F195" s="7">
        <v>4.55</v>
      </c>
      <c r="G195" s="7">
        <v>0</v>
      </c>
      <c r="H195" s="7">
        <v>0.7</v>
      </c>
      <c r="I195" s="7">
        <v>4.42</v>
      </c>
      <c r="J195" s="7">
        <v>5.25</v>
      </c>
    </row>
    <row r="196" spans="1:10">
      <c r="A196" s="5">
        <v>46296</v>
      </c>
      <c r="B196" t="s">
        <v>24</v>
      </c>
      <c r="C196" s="8" t="s">
        <v>106</v>
      </c>
      <c r="D196" s="2">
        <v>2</v>
      </c>
      <c r="E196" s="7">
        <f t="shared" si="2"/>
        <v>0.38</v>
      </c>
      <c r="F196" s="7">
        <v>0.76</v>
      </c>
      <c r="G196" s="7">
        <v>0</v>
      </c>
      <c r="H196" s="7">
        <v>0.12</v>
      </c>
      <c r="I196" s="7">
        <v>0.74</v>
      </c>
      <c r="J196" s="7">
        <v>0.88</v>
      </c>
    </row>
    <row r="197" spans="1:10">
      <c r="A197" s="5">
        <v>46296</v>
      </c>
      <c r="B197" t="s">
        <v>24</v>
      </c>
      <c r="C197" s="8" t="s">
        <v>356</v>
      </c>
      <c r="D197" s="2">
        <v>1</v>
      </c>
      <c r="E197" s="7">
        <f t="shared" si="2"/>
        <v>4.33</v>
      </c>
      <c r="F197" s="7">
        <v>4.33</v>
      </c>
      <c r="G197" s="7">
        <v>0</v>
      </c>
      <c r="H197" s="7">
        <v>0.67</v>
      </c>
      <c r="I197" s="7">
        <v>1.68</v>
      </c>
      <c r="J197" s="7">
        <v>5</v>
      </c>
    </row>
    <row r="198" spans="1:10">
      <c r="A198" s="5">
        <v>46296</v>
      </c>
      <c r="B198" t="s">
        <v>24</v>
      </c>
      <c r="C198" s="8" t="s">
        <v>345</v>
      </c>
      <c r="D198" s="2">
        <v>1</v>
      </c>
      <c r="E198" s="7">
        <f t="shared" si="2"/>
        <v>0.38</v>
      </c>
      <c r="F198" s="7">
        <v>0.38</v>
      </c>
      <c r="G198" s="7">
        <v>0</v>
      </c>
      <c r="H198" s="7">
        <v>0.06</v>
      </c>
      <c r="I198" s="7">
        <v>0.37</v>
      </c>
      <c r="J198" s="7">
        <v>0.44</v>
      </c>
    </row>
    <row r="199" spans="1:10">
      <c r="A199" s="5">
        <v>46296</v>
      </c>
      <c r="B199" t="s">
        <v>24</v>
      </c>
      <c r="C199" s="8" t="s">
        <v>114</v>
      </c>
      <c r="D199" s="2">
        <v>2</v>
      </c>
      <c r="E199" s="7">
        <f t="shared" si="2"/>
        <v>1.08</v>
      </c>
      <c r="F199" s="7">
        <v>2.16</v>
      </c>
      <c r="G199" s="7">
        <v>0</v>
      </c>
      <c r="H199" s="7">
        <v>0.34</v>
      </c>
      <c r="I199" s="7">
        <v>0.52</v>
      </c>
      <c r="J199" s="7">
        <v>2.5</v>
      </c>
    </row>
    <row r="200" spans="1:10">
      <c r="A200" s="5">
        <v>46296</v>
      </c>
      <c r="B200" t="s">
        <v>24</v>
      </c>
      <c r="C200" s="8" t="s">
        <v>82</v>
      </c>
      <c r="D200" s="2">
        <v>5</v>
      </c>
      <c r="E200" s="7">
        <f t="shared" si="2"/>
        <v>1.08</v>
      </c>
      <c r="F200" s="7">
        <v>5.4</v>
      </c>
      <c r="G200" s="7">
        <v>0</v>
      </c>
      <c r="H200" s="7">
        <v>0.84</v>
      </c>
      <c r="I200" s="7">
        <v>1.29</v>
      </c>
      <c r="J200" s="7">
        <v>6.24</v>
      </c>
    </row>
    <row r="201" spans="1:10">
      <c r="A201" s="5">
        <v>46296</v>
      </c>
      <c r="B201" t="s">
        <v>24</v>
      </c>
      <c r="C201" s="8" t="s">
        <v>125</v>
      </c>
      <c r="D201" s="2">
        <v>1</v>
      </c>
      <c r="E201" s="7">
        <f t="shared" si="2"/>
        <v>1.08</v>
      </c>
      <c r="F201" s="7">
        <v>1.08</v>
      </c>
      <c r="G201" s="7">
        <v>0</v>
      </c>
      <c r="H201" s="7">
        <v>0.17</v>
      </c>
      <c r="I201" s="7">
        <v>1.05</v>
      </c>
      <c r="J201" s="7">
        <v>1.25</v>
      </c>
    </row>
    <row r="202" spans="1:10">
      <c r="A202" s="5">
        <v>46296</v>
      </c>
      <c r="B202" t="s">
        <v>24</v>
      </c>
      <c r="C202" s="8" t="s">
        <v>430</v>
      </c>
      <c r="D202" s="2">
        <v>1</v>
      </c>
      <c r="E202" s="7">
        <f t="shared" si="2"/>
        <v>2.16</v>
      </c>
      <c r="F202" s="7">
        <v>2.16</v>
      </c>
      <c r="G202" s="7">
        <v>0</v>
      </c>
      <c r="H202" s="7">
        <v>0.34</v>
      </c>
      <c r="I202" s="7">
        <v>2.09</v>
      </c>
      <c r="J202" s="7">
        <v>2.5</v>
      </c>
    </row>
    <row r="203" spans="1:10">
      <c r="A203" s="5">
        <v>46296</v>
      </c>
      <c r="B203" t="s">
        <v>24</v>
      </c>
      <c r="C203" s="8" t="s">
        <v>48</v>
      </c>
      <c r="D203" s="2">
        <v>35</v>
      </c>
      <c r="E203" s="7">
        <f t="shared" ref="E203:E266" si="3">IFERROR(F203/D203,0)</f>
        <v>0.05</v>
      </c>
      <c r="F203" s="7">
        <v>1.75</v>
      </c>
      <c r="G203" s="7">
        <v>0</v>
      </c>
      <c r="H203" s="7">
        <v>0.27</v>
      </c>
      <c r="I203" s="7">
        <v>0.79</v>
      </c>
      <c r="J203" s="7">
        <v>2.02</v>
      </c>
    </row>
    <row r="204" spans="1:10">
      <c r="A204" s="5">
        <v>46296</v>
      </c>
      <c r="B204" t="s">
        <v>24</v>
      </c>
      <c r="C204" s="8" t="s">
        <v>60</v>
      </c>
      <c r="D204" s="2">
        <v>15</v>
      </c>
      <c r="E204" s="7">
        <f t="shared" si="3"/>
        <v>0.31</v>
      </c>
      <c r="F204" s="7">
        <v>4.6500000000000004</v>
      </c>
      <c r="G204" s="7">
        <v>0</v>
      </c>
      <c r="H204" s="7">
        <v>0</v>
      </c>
      <c r="I204" s="7">
        <v>4.5</v>
      </c>
      <c r="J204" s="7">
        <v>4.6500000000000004</v>
      </c>
    </row>
    <row r="205" spans="1:10">
      <c r="A205" s="5">
        <v>46296</v>
      </c>
      <c r="B205" t="s">
        <v>24</v>
      </c>
      <c r="C205" s="8" t="s">
        <v>30</v>
      </c>
      <c r="D205" s="2">
        <v>4</v>
      </c>
      <c r="E205" s="7">
        <f t="shared" si="3"/>
        <v>0.81</v>
      </c>
      <c r="F205" s="7">
        <v>3.24</v>
      </c>
      <c r="G205" s="7">
        <v>0</v>
      </c>
      <c r="H205" s="7">
        <v>0.52</v>
      </c>
      <c r="I205" s="7">
        <v>1.72</v>
      </c>
      <c r="J205" s="7">
        <v>3.76</v>
      </c>
    </row>
    <row r="206" spans="1:10">
      <c r="A206" s="5">
        <v>46296</v>
      </c>
      <c r="B206" t="s">
        <v>164</v>
      </c>
      <c r="C206" s="8" t="s">
        <v>232</v>
      </c>
      <c r="D206" s="2">
        <v>3</v>
      </c>
      <c r="E206" s="7">
        <f t="shared" si="3"/>
        <v>0.54999999999999993</v>
      </c>
      <c r="F206" s="7">
        <v>1.65</v>
      </c>
      <c r="G206" s="7">
        <v>0</v>
      </c>
      <c r="H206" s="7">
        <v>0.24</v>
      </c>
      <c r="I206" s="7">
        <v>1.62</v>
      </c>
      <c r="J206" s="7">
        <v>1.89</v>
      </c>
    </row>
    <row r="207" spans="1:10">
      <c r="A207" s="5">
        <v>46296</v>
      </c>
      <c r="B207" t="s">
        <v>164</v>
      </c>
      <c r="C207" s="8" t="s">
        <v>147</v>
      </c>
      <c r="D207" s="2">
        <v>3</v>
      </c>
      <c r="E207" s="7">
        <f t="shared" si="3"/>
        <v>2.16</v>
      </c>
      <c r="F207" s="7">
        <v>6.48</v>
      </c>
      <c r="G207" s="7">
        <v>0</v>
      </c>
      <c r="H207" s="7">
        <v>1.02</v>
      </c>
      <c r="I207" s="7">
        <v>6.27</v>
      </c>
      <c r="J207" s="7">
        <v>7.5</v>
      </c>
    </row>
    <row r="208" spans="1:10">
      <c r="A208" s="5">
        <v>46296</v>
      </c>
      <c r="B208" t="s">
        <v>164</v>
      </c>
      <c r="C208" s="8" t="s">
        <v>36</v>
      </c>
      <c r="D208" s="2">
        <v>4</v>
      </c>
      <c r="E208" s="7">
        <f t="shared" si="3"/>
        <v>0.81</v>
      </c>
      <c r="F208" s="7">
        <v>3.24</v>
      </c>
      <c r="G208" s="7">
        <v>0</v>
      </c>
      <c r="H208" s="7">
        <v>0.52</v>
      </c>
      <c r="I208" s="7">
        <v>1.52</v>
      </c>
      <c r="J208" s="7">
        <v>3.76</v>
      </c>
    </row>
    <row r="209" spans="1:10">
      <c r="A209" s="5">
        <v>46296</v>
      </c>
      <c r="B209" t="s">
        <v>164</v>
      </c>
      <c r="C209" s="8" t="s">
        <v>64</v>
      </c>
      <c r="D209" s="2">
        <v>2</v>
      </c>
      <c r="E209" s="7">
        <f t="shared" si="3"/>
        <v>1.9</v>
      </c>
      <c r="F209" s="7">
        <v>3.8</v>
      </c>
      <c r="G209" s="7">
        <v>0</v>
      </c>
      <c r="H209" s="7">
        <v>0.57999999999999996</v>
      </c>
      <c r="I209" s="7">
        <v>3.66</v>
      </c>
      <c r="J209" s="7">
        <v>4.38</v>
      </c>
    </row>
    <row r="210" spans="1:10">
      <c r="A210" s="5">
        <v>46296</v>
      </c>
      <c r="B210" t="s">
        <v>164</v>
      </c>
      <c r="C210" s="8" t="s">
        <v>99</v>
      </c>
      <c r="D210" s="2">
        <v>4</v>
      </c>
      <c r="E210" s="7">
        <f t="shared" si="3"/>
        <v>0.81</v>
      </c>
      <c r="F210" s="7">
        <v>3.24</v>
      </c>
      <c r="G210" s="7">
        <v>0</v>
      </c>
      <c r="H210" s="7">
        <v>0.5</v>
      </c>
      <c r="I210" s="7">
        <v>3.14</v>
      </c>
      <c r="J210" s="7">
        <v>3.74</v>
      </c>
    </row>
    <row r="211" spans="1:10">
      <c r="A211" s="5">
        <v>46296</v>
      </c>
      <c r="B211" t="s">
        <v>164</v>
      </c>
      <c r="C211" s="8" t="s">
        <v>121</v>
      </c>
      <c r="D211" s="2">
        <v>1</v>
      </c>
      <c r="E211" s="7">
        <f t="shared" si="3"/>
        <v>0.81</v>
      </c>
      <c r="F211" s="7">
        <v>0.81</v>
      </c>
      <c r="G211" s="7">
        <v>0</v>
      </c>
      <c r="H211" s="7">
        <v>0.13</v>
      </c>
      <c r="I211" s="7">
        <v>0.79</v>
      </c>
      <c r="J211" s="7">
        <v>0.94</v>
      </c>
    </row>
    <row r="212" spans="1:10">
      <c r="A212" s="5">
        <v>46296</v>
      </c>
      <c r="B212" t="s">
        <v>164</v>
      </c>
      <c r="C212" s="8" t="s">
        <v>161</v>
      </c>
      <c r="D212" s="2">
        <v>1</v>
      </c>
      <c r="E212" s="7">
        <f t="shared" si="3"/>
        <v>2.16</v>
      </c>
      <c r="F212" s="7">
        <v>2.16</v>
      </c>
      <c r="G212" s="7">
        <v>0</v>
      </c>
      <c r="H212" s="7">
        <v>0.34</v>
      </c>
      <c r="I212" s="7">
        <v>2.08</v>
      </c>
      <c r="J212" s="7">
        <v>2.5</v>
      </c>
    </row>
    <row r="213" spans="1:10">
      <c r="A213" s="5">
        <v>46296</v>
      </c>
      <c r="B213" t="s">
        <v>164</v>
      </c>
      <c r="C213" s="8" t="s">
        <v>446</v>
      </c>
      <c r="D213" s="2">
        <v>10</v>
      </c>
      <c r="E213" s="7">
        <f t="shared" si="3"/>
        <v>1.9</v>
      </c>
      <c r="F213" s="7">
        <v>19</v>
      </c>
      <c r="G213" s="7">
        <v>0</v>
      </c>
      <c r="H213" s="7">
        <v>2.93</v>
      </c>
      <c r="I213" s="7">
        <v>5.03</v>
      </c>
      <c r="J213" s="7">
        <v>21.93</v>
      </c>
    </row>
    <row r="214" spans="1:10">
      <c r="A214" s="5">
        <v>46296</v>
      </c>
      <c r="B214" t="s">
        <v>164</v>
      </c>
      <c r="C214" s="8" t="s">
        <v>110</v>
      </c>
      <c r="D214" s="2">
        <v>3</v>
      </c>
      <c r="E214" s="7">
        <f t="shared" si="3"/>
        <v>1.08</v>
      </c>
      <c r="F214" s="7">
        <v>3.24</v>
      </c>
      <c r="G214" s="7">
        <v>0</v>
      </c>
      <c r="H214" s="7">
        <v>0.51</v>
      </c>
      <c r="I214" s="7">
        <v>0.77</v>
      </c>
      <c r="J214" s="7">
        <v>3.75</v>
      </c>
    </row>
    <row r="215" spans="1:10">
      <c r="A215" s="5">
        <v>46296</v>
      </c>
      <c r="B215" t="s">
        <v>164</v>
      </c>
      <c r="C215" s="8" t="s">
        <v>237</v>
      </c>
      <c r="D215" s="2">
        <v>1</v>
      </c>
      <c r="E215" s="7">
        <f t="shared" si="3"/>
        <v>5.14</v>
      </c>
      <c r="F215" s="7">
        <v>5.14</v>
      </c>
      <c r="G215" s="7">
        <v>0</v>
      </c>
      <c r="H215" s="7">
        <v>0.8</v>
      </c>
      <c r="I215" s="7">
        <v>1.18</v>
      </c>
      <c r="J215" s="7">
        <v>5.94</v>
      </c>
    </row>
    <row r="216" spans="1:10">
      <c r="A216" s="5">
        <v>46296</v>
      </c>
      <c r="B216" t="s">
        <v>164</v>
      </c>
      <c r="C216" s="8" t="s">
        <v>89</v>
      </c>
      <c r="D216" s="2">
        <v>11</v>
      </c>
      <c r="E216" s="7">
        <f t="shared" si="3"/>
        <v>0.81</v>
      </c>
      <c r="F216" s="7">
        <v>8.91</v>
      </c>
      <c r="G216" s="7">
        <v>0</v>
      </c>
      <c r="H216" s="7">
        <v>1.4</v>
      </c>
      <c r="I216" s="7">
        <v>8.67</v>
      </c>
      <c r="J216" s="7">
        <v>10.31</v>
      </c>
    </row>
    <row r="217" spans="1:10">
      <c r="A217" s="5">
        <v>46296</v>
      </c>
      <c r="B217" t="s">
        <v>164</v>
      </c>
      <c r="C217" s="8" t="s">
        <v>101</v>
      </c>
      <c r="D217" s="2">
        <v>4</v>
      </c>
      <c r="E217" s="7">
        <f t="shared" si="3"/>
        <v>0.81</v>
      </c>
      <c r="F217" s="7">
        <v>3.24</v>
      </c>
      <c r="G217" s="7">
        <v>0</v>
      </c>
      <c r="H217" s="7">
        <v>0.51</v>
      </c>
      <c r="I217" s="7">
        <v>1.57</v>
      </c>
      <c r="J217" s="7">
        <v>3.75</v>
      </c>
    </row>
    <row r="218" spans="1:10">
      <c r="A218" s="5">
        <v>46296</v>
      </c>
      <c r="B218" t="s">
        <v>164</v>
      </c>
      <c r="C218" s="8" t="s">
        <v>455</v>
      </c>
      <c r="D218" s="2">
        <v>1</v>
      </c>
      <c r="E218" s="7">
        <f t="shared" si="3"/>
        <v>1.08</v>
      </c>
      <c r="F218" s="7">
        <v>1.08</v>
      </c>
      <c r="G218" s="7">
        <v>0</v>
      </c>
      <c r="H218" s="7">
        <v>0.17</v>
      </c>
      <c r="I218" s="7">
        <v>0.63</v>
      </c>
      <c r="J218" s="7">
        <v>1.25</v>
      </c>
    </row>
    <row r="219" spans="1:10">
      <c r="A219" s="5">
        <v>46296</v>
      </c>
      <c r="B219" t="s">
        <v>164</v>
      </c>
      <c r="C219" s="8" t="s">
        <v>230</v>
      </c>
      <c r="D219" s="2">
        <v>1</v>
      </c>
      <c r="E219" s="7">
        <f t="shared" si="3"/>
        <v>0.81</v>
      </c>
      <c r="F219" s="7">
        <v>0.81</v>
      </c>
      <c r="G219" s="7">
        <v>0</v>
      </c>
      <c r="H219" s="7">
        <v>0.13</v>
      </c>
      <c r="I219" s="7">
        <v>0.79</v>
      </c>
      <c r="J219" s="7">
        <v>0.94</v>
      </c>
    </row>
    <row r="220" spans="1:10">
      <c r="A220" s="5">
        <v>46296</v>
      </c>
      <c r="B220" t="s">
        <v>164</v>
      </c>
      <c r="C220" s="8" t="s">
        <v>144</v>
      </c>
      <c r="D220" s="2">
        <v>7</v>
      </c>
      <c r="E220" s="7">
        <f t="shared" si="3"/>
        <v>1.25</v>
      </c>
      <c r="F220" s="7">
        <v>8.75</v>
      </c>
      <c r="G220" s="7">
        <v>0</v>
      </c>
      <c r="H220" s="7">
        <v>0</v>
      </c>
      <c r="I220" s="7">
        <v>8.4600000000000009</v>
      </c>
      <c r="J220" s="7">
        <v>8.75</v>
      </c>
    </row>
    <row r="221" spans="1:10">
      <c r="A221" s="5">
        <v>46296</v>
      </c>
      <c r="B221" t="s">
        <v>164</v>
      </c>
      <c r="C221" s="8" t="s">
        <v>206</v>
      </c>
      <c r="D221" s="2">
        <v>3</v>
      </c>
      <c r="E221" s="7">
        <f t="shared" si="3"/>
        <v>0.54999999999999993</v>
      </c>
      <c r="F221" s="7">
        <v>1.65</v>
      </c>
      <c r="G221" s="7">
        <v>0</v>
      </c>
      <c r="H221" s="7">
        <v>0.24</v>
      </c>
      <c r="I221" s="7">
        <v>1.62</v>
      </c>
      <c r="J221" s="7">
        <v>1.89</v>
      </c>
    </row>
    <row r="222" spans="1:10">
      <c r="A222" s="5">
        <v>46296</v>
      </c>
      <c r="B222" t="s">
        <v>164</v>
      </c>
      <c r="C222" s="8" t="s">
        <v>195</v>
      </c>
      <c r="D222" s="2">
        <v>1</v>
      </c>
      <c r="E222" s="7">
        <f t="shared" si="3"/>
        <v>1.08</v>
      </c>
      <c r="F222" s="7">
        <v>1.08</v>
      </c>
      <c r="G222" s="7">
        <v>0</v>
      </c>
      <c r="H222" s="7">
        <v>0.17</v>
      </c>
      <c r="I222" s="7">
        <v>0.43</v>
      </c>
      <c r="J222" s="7">
        <v>1.25</v>
      </c>
    </row>
    <row r="223" spans="1:10">
      <c r="A223" s="5">
        <v>46296</v>
      </c>
      <c r="B223" t="s">
        <v>164</v>
      </c>
      <c r="C223" s="8" t="s">
        <v>225</v>
      </c>
      <c r="D223" s="2">
        <v>4</v>
      </c>
      <c r="E223" s="7">
        <f t="shared" si="3"/>
        <v>0.81</v>
      </c>
      <c r="F223" s="7">
        <v>3.24</v>
      </c>
      <c r="G223" s="7">
        <v>0</v>
      </c>
      <c r="H223" s="7">
        <v>0.52</v>
      </c>
      <c r="I223" s="7">
        <v>3.16</v>
      </c>
      <c r="J223" s="7">
        <v>3.76</v>
      </c>
    </row>
    <row r="224" spans="1:10">
      <c r="A224" s="5">
        <v>46296</v>
      </c>
      <c r="B224" t="s">
        <v>164</v>
      </c>
      <c r="C224" s="8" t="s">
        <v>72</v>
      </c>
      <c r="D224" s="2">
        <v>1</v>
      </c>
      <c r="E224" s="7">
        <f t="shared" si="3"/>
        <v>1.63</v>
      </c>
      <c r="F224" s="7">
        <v>1.63</v>
      </c>
      <c r="G224" s="7">
        <v>0</v>
      </c>
      <c r="H224" s="7">
        <v>0.25</v>
      </c>
      <c r="I224" s="7">
        <v>1.57</v>
      </c>
      <c r="J224" s="7">
        <v>1.88</v>
      </c>
    </row>
    <row r="225" spans="1:10">
      <c r="A225" s="5">
        <v>46296</v>
      </c>
      <c r="B225" t="s">
        <v>164</v>
      </c>
      <c r="C225" s="8" t="s">
        <v>438</v>
      </c>
      <c r="D225" s="2">
        <v>1</v>
      </c>
      <c r="E225" s="7">
        <f t="shared" si="3"/>
        <v>1.08</v>
      </c>
      <c r="F225" s="7">
        <v>1.08</v>
      </c>
      <c r="G225" s="7">
        <v>0</v>
      </c>
      <c r="H225" s="7">
        <v>0.17</v>
      </c>
      <c r="I225" s="7">
        <v>0.26</v>
      </c>
      <c r="J225" s="7">
        <v>1.25</v>
      </c>
    </row>
    <row r="226" spans="1:10">
      <c r="A226" s="5">
        <v>46296</v>
      </c>
      <c r="B226" t="s">
        <v>164</v>
      </c>
      <c r="C226" s="8" t="s">
        <v>85</v>
      </c>
      <c r="D226" s="2">
        <v>3</v>
      </c>
      <c r="E226" s="7">
        <f t="shared" si="3"/>
        <v>1.3499999999999999</v>
      </c>
      <c r="F226" s="7">
        <v>4.05</v>
      </c>
      <c r="G226" s="7">
        <v>0</v>
      </c>
      <c r="H226" s="7">
        <v>0.63</v>
      </c>
      <c r="I226" s="7">
        <v>3.9</v>
      </c>
      <c r="J226" s="7">
        <v>4.68</v>
      </c>
    </row>
    <row r="227" spans="1:10">
      <c r="A227" s="5">
        <v>46296</v>
      </c>
      <c r="B227" t="s">
        <v>164</v>
      </c>
      <c r="C227" s="8" t="s">
        <v>312</v>
      </c>
      <c r="D227" s="2">
        <v>3</v>
      </c>
      <c r="E227" s="7">
        <f t="shared" si="3"/>
        <v>0.54999999999999993</v>
      </c>
      <c r="F227" s="7">
        <v>1.65</v>
      </c>
      <c r="G227" s="7">
        <v>0</v>
      </c>
      <c r="H227" s="7">
        <v>0.25</v>
      </c>
      <c r="I227" s="7">
        <v>0.82</v>
      </c>
      <c r="J227" s="7">
        <v>1.9</v>
      </c>
    </row>
    <row r="228" spans="1:10">
      <c r="A228" s="5">
        <v>46296</v>
      </c>
      <c r="B228" t="s">
        <v>164</v>
      </c>
      <c r="C228" s="8" t="s">
        <v>57</v>
      </c>
      <c r="D228" s="2">
        <v>3</v>
      </c>
      <c r="E228" s="7">
        <f t="shared" si="3"/>
        <v>0.27</v>
      </c>
      <c r="F228" s="7">
        <v>0.81</v>
      </c>
      <c r="G228" s="7">
        <v>0</v>
      </c>
      <c r="H228" s="7">
        <v>0.12</v>
      </c>
      <c r="I228" s="7">
        <v>0.56999999999999995</v>
      </c>
      <c r="J228" s="7">
        <v>0.93</v>
      </c>
    </row>
    <row r="229" spans="1:10">
      <c r="A229" s="5">
        <v>46296</v>
      </c>
      <c r="B229" t="s">
        <v>164</v>
      </c>
      <c r="C229" s="8" t="s">
        <v>141</v>
      </c>
      <c r="D229" s="2">
        <v>1</v>
      </c>
      <c r="E229" s="7">
        <f t="shared" si="3"/>
        <v>0.55000000000000004</v>
      </c>
      <c r="F229" s="7">
        <v>0.55000000000000004</v>
      </c>
      <c r="G229" s="7">
        <v>0</v>
      </c>
      <c r="H229" s="7">
        <v>0.08</v>
      </c>
      <c r="I229" s="7">
        <v>0.53</v>
      </c>
      <c r="J229" s="7">
        <v>0.63</v>
      </c>
    </row>
    <row r="230" spans="1:10">
      <c r="A230" s="5">
        <v>46296</v>
      </c>
      <c r="B230" t="s">
        <v>164</v>
      </c>
      <c r="C230" s="8" t="s">
        <v>97</v>
      </c>
      <c r="D230" s="2">
        <v>2</v>
      </c>
      <c r="E230" s="7">
        <f t="shared" si="3"/>
        <v>1.63</v>
      </c>
      <c r="F230" s="7">
        <v>3.26</v>
      </c>
      <c r="G230" s="7">
        <v>0</v>
      </c>
      <c r="H230" s="7">
        <v>0.5</v>
      </c>
      <c r="I230" s="7">
        <v>3.13</v>
      </c>
      <c r="J230" s="7">
        <v>3.76</v>
      </c>
    </row>
    <row r="231" spans="1:10">
      <c r="A231" s="5">
        <v>46296</v>
      </c>
      <c r="B231" t="s">
        <v>164</v>
      </c>
      <c r="C231" s="8" t="s">
        <v>284</v>
      </c>
      <c r="D231" s="2">
        <v>1</v>
      </c>
      <c r="E231" s="7">
        <f t="shared" si="3"/>
        <v>1.08</v>
      </c>
      <c r="F231" s="7">
        <v>1.08</v>
      </c>
      <c r="G231" s="7">
        <v>0</v>
      </c>
      <c r="H231" s="7">
        <v>0.17</v>
      </c>
      <c r="I231" s="7">
        <v>0.43</v>
      </c>
      <c r="J231" s="7">
        <v>1.25</v>
      </c>
    </row>
    <row r="232" spans="1:10">
      <c r="A232" s="5">
        <v>46296</v>
      </c>
      <c r="B232" t="s">
        <v>164</v>
      </c>
      <c r="C232" s="8" t="s">
        <v>314</v>
      </c>
      <c r="D232" s="2">
        <v>1</v>
      </c>
      <c r="E232" s="7">
        <f t="shared" si="3"/>
        <v>1.08</v>
      </c>
      <c r="F232" s="7">
        <v>1.08</v>
      </c>
      <c r="G232" s="7">
        <v>0</v>
      </c>
      <c r="H232" s="7">
        <v>0.17</v>
      </c>
      <c r="I232" s="7">
        <v>0.43</v>
      </c>
      <c r="J232" s="7">
        <v>1.25</v>
      </c>
    </row>
    <row r="233" spans="1:10">
      <c r="A233" s="5">
        <v>46296</v>
      </c>
      <c r="B233" t="s">
        <v>164</v>
      </c>
      <c r="C233" s="8" t="s">
        <v>212</v>
      </c>
      <c r="D233" s="2">
        <v>3</v>
      </c>
      <c r="E233" s="7">
        <f t="shared" si="3"/>
        <v>1.5599999999999998</v>
      </c>
      <c r="F233" s="7">
        <v>4.68</v>
      </c>
      <c r="G233" s="7">
        <v>0</v>
      </c>
      <c r="H233" s="7">
        <v>0</v>
      </c>
      <c r="I233" s="7">
        <v>4.53</v>
      </c>
      <c r="J233" s="7">
        <v>4.68</v>
      </c>
    </row>
    <row r="234" spans="1:10">
      <c r="A234" s="5">
        <v>46296</v>
      </c>
      <c r="B234" t="s">
        <v>164</v>
      </c>
      <c r="C234" s="8" t="s">
        <v>67</v>
      </c>
      <c r="D234" s="2">
        <v>1</v>
      </c>
      <c r="E234" s="7">
        <f t="shared" si="3"/>
        <v>2.19</v>
      </c>
      <c r="F234" s="7">
        <v>2.19</v>
      </c>
      <c r="G234" s="7">
        <v>0</v>
      </c>
      <c r="H234" s="7">
        <v>0</v>
      </c>
      <c r="I234" s="7">
        <v>2.1</v>
      </c>
      <c r="J234" s="7">
        <v>2.19</v>
      </c>
    </row>
    <row r="235" spans="1:10">
      <c r="A235" s="5">
        <v>46296</v>
      </c>
      <c r="B235" t="s">
        <v>164</v>
      </c>
      <c r="C235" s="8" t="s">
        <v>338</v>
      </c>
      <c r="D235" s="2">
        <v>2</v>
      </c>
      <c r="E235" s="7">
        <f t="shared" si="3"/>
        <v>0.81</v>
      </c>
      <c r="F235" s="7">
        <v>1.62</v>
      </c>
      <c r="G235" s="7">
        <v>0</v>
      </c>
      <c r="H235" s="7">
        <v>0.26</v>
      </c>
      <c r="I235" s="7">
        <v>1.08</v>
      </c>
      <c r="J235" s="7">
        <v>1.88</v>
      </c>
    </row>
    <row r="236" spans="1:10">
      <c r="A236" s="5">
        <v>46296</v>
      </c>
      <c r="B236" t="s">
        <v>164</v>
      </c>
      <c r="C236" s="8" t="s">
        <v>222</v>
      </c>
      <c r="D236" s="2">
        <v>1</v>
      </c>
      <c r="E236" s="7">
        <f t="shared" si="3"/>
        <v>0.81</v>
      </c>
      <c r="F236" s="7">
        <v>0.81</v>
      </c>
      <c r="G236" s="7">
        <v>0</v>
      </c>
      <c r="H236" s="7">
        <v>0.13</v>
      </c>
      <c r="I236" s="7">
        <v>0.78</v>
      </c>
      <c r="J236" s="7">
        <v>0.94</v>
      </c>
    </row>
    <row r="237" spans="1:10">
      <c r="A237" s="5">
        <v>46296</v>
      </c>
      <c r="B237" t="s">
        <v>164</v>
      </c>
      <c r="C237" s="8" t="s">
        <v>169</v>
      </c>
      <c r="D237" s="2">
        <v>1</v>
      </c>
      <c r="E237" s="7">
        <f t="shared" si="3"/>
        <v>1.63</v>
      </c>
      <c r="F237" s="7">
        <v>1.63</v>
      </c>
      <c r="G237" s="7">
        <v>0</v>
      </c>
      <c r="H237" s="7">
        <v>0.25</v>
      </c>
      <c r="I237" s="7">
        <v>1.58</v>
      </c>
      <c r="J237" s="7">
        <v>1.88</v>
      </c>
    </row>
    <row r="238" spans="1:10">
      <c r="A238" s="5">
        <v>46296</v>
      </c>
      <c r="B238" t="s">
        <v>164</v>
      </c>
      <c r="C238" s="8" t="s">
        <v>268</v>
      </c>
      <c r="D238" s="2">
        <v>3</v>
      </c>
      <c r="E238" s="7">
        <f t="shared" si="3"/>
        <v>0.65</v>
      </c>
      <c r="F238" s="7">
        <v>1.95</v>
      </c>
      <c r="G238" s="7">
        <v>0</v>
      </c>
      <c r="H238" s="7">
        <v>0.3</v>
      </c>
      <c r="I238" s="7">
        <v>1.89</v>
      </c>
      <c r="J238" s="7">
        <v>2.25</v>
      </c>
    </row>
    <row r="239" spans="1:10">
      <c r="A239" s="5">
        <v>46296</v>
      </c>
      <c r="B239" t="s">
        <v>164</v>
      </c>
      <c r="C239" s="8" t="s">
        <v>332</v>
      </c>
      <c r="D239" s="2">
        <v>2</v>
      </c>
      <c r="E239" s="7">
        <f t="shared" si="3"/>
        <v>0.55000000000000004</v>
      </c>
      <c r="F239" s="7">
        <v>1.1000000000000001</v>
      </c>
      <c r="G239" s="7">
        <v>0</v>
      </c>
      <c r="H239" s="7">
        <v>0.17</v>
      </c>
      <c r="I239" s="7">
        <v>1.06</v>
      </c>
      <c r="J239" s="7">
        <v>1.27</v>
      </c>
    </row>
    <row r="240" spans="1:10">
      <c r="A240" s="5">
        <v>46296</v>
      </c>
      <c r="B240" t="s">
        <v>164</v>
      </c>
      <c r="C240" s="8" t="s">
        <v>77</v>
      </c>
      <c r="D240" s="2">
        <v>4</v>
      </c>
      <c r="E240" s="7">
        <f t="shared" si="3"/>
        <v>0.65</v>
      </c>
      <c r="F240" s="7">
        <v>2.6</v>
      </c>
      <c r="G240" s="7">
        <v>0</v>
      </c>
      <c r="H240" s="7">
        <v>0.4</v>
      </c>
      <c r="I240" s="7">
        <v>2.52</v>
      </c>
      <c r="J240" s="7">
        <v>3</v>
      </c>
    </row>
    <row r="241" spans="1:10">
      <c r="A241" s="5">
        <v>46296</v>
      </c>
      <c r="B241" t="s">
        <v>164</v>
      </c>
      <c r="C241" s="8" t="s">
        <v>93</v>
      </c>
      <c r="D241" s="2">
        <v>4</v>
      </c>
      <c r="E241" s="7">
        <f t="shared" si="3"/>
        <v>0.65</v>
      </c>
      <c r="F241" s="7">
        <v>2.6</v>
      </c>
      <c r="G241" s="7">
        <v>0</v>
      </c>
      <c r="H241" s="7">
        <v>0.4</v>
      </c>
      <c r="I241" s="7">
        <v>2.52</v>
      </c>
      <c r="J241" s="7">
        <v>3</v>
      </c>
    </row>
    <row r="242" spans="1:10">
      <c r="A242" s="5">
        <v>46296</v>
      </c>
      <c r="B242" t="s">
        <v>164</v>
      </c>
      <c r="C242" s="8" t="s">
        <v>227</v>
      </c>
      <c r="D242" s="2">
        <v>1</v>
      </c>
      <c r="E242" s="7">
        <f t="shared" si="3"/>
        <v>4.33</v>
      </c>
      <c r="F242" s="7">
        <v>4.33</v>
      </c>
      <c r="G242" s="7">
        <v>0</v>
      </c>
      <c r="H242" s="7">
        <v>0.67</v>
      </c>
      <c r="I242" s="7">
        <v>1.68</v>
      </c>
      <c r="J242" s="7">
        <v>5</v>
      </c>
    </row>
    <row r="243" spans="1:10">
      <c r="A243" s="5">
        <v>46296</v>
      </c>
      <c r="B243" t="s">
        <v>164</v>
      </c>
      <c r="C243" s="8" t="s">
        <v>356</v>
      </c>
      <c r="D243" s="2">
        <v>1</v>
      </c>
      <c r="E243" s="7">
        <f t="shared" si="3"/>
        <v>4.33</v>
      </c>
      <c r="F243" s="7">
        <v>4.33</v>
      </c>
      <c r="G243" s="7">
        <v>0</v>
      </c>
      <c r="H243" s="7">
        <v>0.67</v>
      </c>
      <c r="I243" s="7">
        <v>1.68</v>
      </c>
      <c r="J243" s="7">
        <v>5</v>
      </c>
    </row>
    <row r="244" spans="1:10">
      <c r="A244" s="5">
        <v>46296</v>
      </c>
      <c r="B244" t="s">
        <v>164</v>
      </c>
      <c r="C244" s="8" t="s">
        <v>320</v>
      </c>
      <c r="D244" s="2">
        <v>1</v>
      </c>
      <c r="E244" s="7">
        <f t="shared" si="3"/>
        <v>4.33</v>
      </c>
      <c r="F244" s="7">
        <v>4.33</v>
      </c>
      <c r="G244" s="7">
        <v>0</v>
      </c>
      <c r="H244" s="7">
        <v>0.67</v>
      </c>
      <c r="I244" s="7">
        <v>1.68</v>
      </c>
      <c r="J244" s="7">
        <v>5</v>
      </c>
    </row>
    <row r="245" spans="1:10">
      <c r="A245" s="5">
        <v>46296</v>
      </c>
      <c r="B245" t="s">
        <v>164</v>
      </c>
      <c r="C245" s="8" t="s">
        <v>125</v>
      </c>
      <c r="D245" s="2">
        <v>7</v>
      </c>
      <c r="E245" s="7">
        <f t="shared" si="3"/>
        <v>1.0799999999999998</v>
      </c>
      <c r="F245" s="7">
        <v>7.56</v>
      </c>
      <c r="G245" s="7">
        <v>0</v>
      </c>
      <c r="H245" s="7">
        <v>1.18</v>
      </c>
      <c r="I245" s="7">
        <v>7.35</v>
      </c>
      <c r="J245" s="7">
        <v>8.74</v>
      </c>
    </row>
    <row r="246" spans="1:10">
      <c r="A246" s="5">
        <v>46296</v>
      </c>
      <c r="B246" t="s">
        <v>164</v>
      </c>
      <c r="C246" s="8" t="s">
        <v>341</v>
      </c>
      <c r="D246" s="2">
        <v>1</v>
      </c>
      <c r="E246" s="7">
        <f t="shared" si="3"/>
        <v>2.16</v>
      </c>
      <c r="F246" s="7">
        <v>2.16</v>
      </c>
      <c r="G246" s="7">
        <v>0</v>
      </c>
      <c r="H246" s="7">
        <v>0.34</v>
      </c>
      <c r="I246" s="7">
        <v>2.09</v>
      </c>
      <c r="J246" s="7">
        <v>2.5</v>
      </c>
    </row>
    <row r="247" spans="1:10">
      <c r="A247" s="5">
        <v>46296</v>
      </c>
      <c r="B247" t="s">
        <v>164</v>
      </c>
      <c r="C247" s="8" t="s">
        <v>430</v>
      </c>
      <c r="D247" s="2">
        <v>1</v>
      </c>
      <c r="E247" s="7">
        <f t="shared" si="3"/>
        <v>2.16</v>
      </c>
      <c r="F247" s="7">
        <v>2.16</v>
      </c>
      <c r="G247" s="7">
        <v>0</v>
      </c>
      <c r="H247" s="7">
        <v>0.34</v>
      </c>
      <c r="I247" s="7">
        <v>2.09</v>
      </c>
      <c r="J247" s="7">
        <v>2.5</v>
      </c>
    </row>
    <row r="248" spans="1:10">
      <c r="A248" s="5">
        <v>46296</v>
      </c>
      <c r="B248" t="s">
        <v>164</v>
      </c>
      <c r="C248" s="8" t="s">
        <v>216</v>
      </c>
      <c r="D248" s="2">
        <v>1</v>
      </c>
      <c r="E248" s="7">
        <f t="shared" si="3"/>
        <v>0.81</v>
      </c>
      <c r="F248" s="7">
        <v>0.81</v>
      </c>
      <c r="G248" s="7">
        <v>0</v>
      </c>
      <c r="H248" s="7">
        <v>0.13</v>
      </c>
      <c r="I248" s="7">
        <v>0.78</v>
      </c>
      <c r="J248" s="7">
        <v>0.94</v>
      </c>
    </row>
    <row r="249" spans="1:10">
      <c r="A249" s="5">
        <v>46296</v>
      </c>
      <c r="B249" t="s">
        <v>164</v>
      </c>
      <c r="C249" s="8" t="s">
        <v>48</v>
      </c>
      <c r="D249" s="2">
        <v>20</v>
      </c>
      <c r="E249" s="7">
        <f t="shared" si="3"/>
        <v>0.05</v>
      </c>
      <c r="F249" s="7">
        <v>1</v>
      </c>
      <c r="G249" s="7">
        <v>0</v>
      </c>
      <c r="H249" s="7">
        <v>0.16</v>
      </c>
      <c r="I249" s="7">
        <v>0.46</v>
      </c>
      <c r="J249" s="7">
        <v>1.1599999999999999</v>
      </c>
    </row>
    <row r="250" spans="1:10">
      <c r="A250" s="5">
        <v>46296</v>
      </c>
      <c r="B250" t="s">
        <v>164</v>
      </c>
      <c r="C250" s="8" t="s">
        <v>60</v>
      </c>
      <c r="D250" s="2">
        <v>3</v>
      </c>
      <c r="E250" s="7">
        <f t="shared" si="3"/>
        <v>0.31</v>
      </c>
      <c r="F250" s="7">
        <v>0.93</v>
      </c>
      <c r="G250" s="7">
        <v>0</v>
      </c>
      <c r="H250" s="7">
        <v>0</v>
      </c>
      <c r="I250" s="7">
        <v>0.9</v>
      </c>
      <c r="J250" s="7">
        <v>0.93</v>
      </c>
    </row>
    <row r="251" spans="1:10" ht="15">
      <c r="A251" s="14" t="s">
        <v>628</v>
      </c>
      <c r="B251" s="14"/>
      <c r="C251" s="14"/>
      <c r="D251" s="9">
        <f>SUM(D11:D250)</f>
        <v>837</v>
      </c>
      <c r="E251" s="10">
        <f t="shared" si="3"/>
        <v>0.84633213859020251</v>
      </c>
      <c r="F251" s="10">
        <f>SUM(F11:F250)</f>
        <v>708.37999999999954</v>
      </c>
      <c r="G251" s="10">
        <f>SUM(G11:G250)</f>
        <v>0</v>
      </c>
      <c r="H251" s="10">
        <f>SUM(H11:H250)</f>
        <v>94.990000000000066</v>
      </c>
      <c r="I251" s="10">
        <f>SUM(I11:I250)</f>
        <v>509.73999999999967</v>
      </c>
      <c r="J251" s="10">
        <f>SUM(J11:J250)</f>
        <v>803.36999999999978</v>
      </c>
    </row>
  </sheetData>
  <mergeCells count="3">
    <mergeCell ref="A1:J1"/>
    <mergeCell ref="A2:J2"/>
    <mergeCell ref="A251:C25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25"/>
  <cols>
    <col min="1" max="1" width="24" customWidth="1"/>
    <col min="2" max="2" width="22" customWidth="1"/>
    <col min="3" max="3" width="56" customWidth="1"/>
    <col min="4" max="4" width="58" customWidth="1"/>
    <col min="5" max="6" width="12" customWidth="1"/>
  </cols>
  <sheetData>
    <row r="1" spans="1:6" ht="15">
      <c r="A1" s="12" t="s">
        <v>629</v>
      </c>
      <c r="B1" s="12"/>
      <c r="C1" s="12"/>
      <c r="D1" s="12"/>
      <c r="E1" s="12"/>
      <c r="F1" s="12"/>
    </row>
    <row r="3" spans="1:6" ht="15">
      <c r="A3" s="1" t="s">
        <v>8</v>
      </c>
      <c r="B3" s="1" t="s">
        <v>630</v>
      </c>
      <c r="C3" s="1" t="s">
        <v>631</v>
      </c>
      <c r="D3" s="1" t="s">
        <v>632</v>
      </c>
    </row>
    <row r="4" spans="1:6">
      <c r="A4" s="8" t="s">
        <v>25</v>
      </c>
      <c r="B4" s="8" t="s">
        <v>24</v>
      </c>
      <c r="C4" s="8" t="s">
        <v>633</v>
      </c>
      <c r="D4" s="8" t="s">
        <v>634</v>
      </c>
    </row>
    <row r="5" spans="1:6" ht="28.5">
      <c r="A5" s="8" t="s">
        <v>165</v>
      </c>
      <c r="B5" s="8" t="s">
        <v>164</v>
      </c>
      <c r="C5" s="8" t="s">
        <v>635</v>
      </c>
      <c r="D5" s="8" t="s">
        <v>636</v>
      </c>
    </row>
    <row r="6" spans="1:6">
      <c r="A6" s="8"/>
      <c r="B6" s="8"/>
      <c r="C6" s="8"/>
      <c r="D6" s="8"/>
    </row>
    <row r="7" spans="1:6" ht="15">
      <c r="A7" s="15" t="s">
        <v>637</v>
      </c>
      <c r="B7" s="15"/>
      <c r="C7" s="15"/>
      <c r="D7" s="15"/>
      <c r="E7" s="16"/>
      <c r="F7" s="16"/>
    </row>
    <row r="8" spans="1:6">
      <c r="A8" s="17" t="s">
        <v>638</v>
      </c>
      <c r="B8" s="17"/>
      <c r="C8" s="17"/>
      <c r="D8" s="17"/>
      <c r="E8" s="17"/>
      <c r="F8" s="17"/>
    </row>
    <row r="9" spans="1:6">
      <c r="A9" s="17"/>
      <c r="B9" s="17"/>
      <c r="C9" s="17"/>
      <c r="D9" s="17"/>
      <c r="E9" s="17"/>
      <c r="F9" s="17"/>
    </row>
    <row r="10" spans="1:6">
      <c r="A10" s="17"/>
      <c r="B10" s="17"/>
      <c r="C10" s="17"/>
      <c r="D10" s="17"/>
      <c r="E10" s="17"/>
      <c r="F10" s="17"/>
    </row>
    <row r="11" spans="1:6">
      <c r="A11" s="8"/>
      <c r="B11" s="8"/>
      <c r="C11" s="8"/>
      <c r="D11" s="8"/>
    </row>
    <row r="12" spans="1:6" ht="15">
      <c r="A12" s="1" t="s">
        <v>639</v>
      </c>
      <c r="B12" s="1" t="s">
        <v>640</v>
      </c>
      <c r="C12" s="1" t="s">
        <v>641</v>
      </c>
      <c r="D12" s="1" t="s">
        <v>642</v>
      </c>
    </row>
    <row r="13" spans="1:6">
      <c r="A13" s="8" t="s">
        <v>643</v>
      </c>
      <c r="B13" s="8">
        <v>756</v>
      </c>
      <c r="C13" s="8">
        <f>COUNTA('Sales Data'!$A$5:$A$760)</f>
        <v>756</v>
      </c>
      <c r="D13" s="8" t="str">
        <f t="shared" ref="D13:D18" si="0">IF(C13=B13,"OK","CHECK")</f>
        <v>OK</v>
      </c>
    </row>
    <row r="14" spans="1:6">
      <c r="A14" s="8" t="s">
        <v>16</v>
      </c>
      <c r="B14" s="8">
        <v>1151</v>
      </c>
      <c r="C14" s="8">
        <f>SUM('Sales Data'!$O$5:$O$760)</f>
        <v>1151</v>
      </c>
      <c r="D14" s="8" t="str">
        <f t="shared" si="0"/>
        <v>OK</v>
      </c>
    </row>
    <row r="15" spans="1:6">
      <c r="A15" s="8" t="s">
        <v>17</v>
      </c>
      <c r="B15" s="8">
        <v>997.28</v>
      </c>
      <c r="C15" s="11">
        <f>SUM('Sales Data'!$P$5:$P$760)</f>
        <v>997.27999999999304</v>
      </c>
      <c r="D15" s="8" t="str">
        <f t="shared" si="0"/>
        <v>CHECK</v>
      </c>
    </row>
    <row r="16" spans="1:6">
      <c r="A16" s="8" t="s">
        <v>18</v>
      </c>
      <c r="B16" s="8">
        <v>0</v>
      </c>
      <c r="C16" s="11">
        <f>SUM('Sales Data'!$Q$5:$Q$760)</f>
        <v>0</v>
      </c>
      <c r="D16" s="8" t="str">
        <f t="shared" si="0"/>
        <v>OK</v>
      </c>
    </row>
    <row r="17" spans="1:6">
      <c r="A17" s="8" t="s">
        <v>19</v>
      </c>
      <c r="B17" s="8">
        <v>134.80000000000001</v>
      </c>
      <c r="C17" s="11">
        <f>SUM('Sales Data'!$R$5:$R$760)</f>
        <v>134.7999999999999</v>
      </c>
      <c r="D17" s="8" t="str">
        <f t="shared" si="0"/>
        <v>OK</v>
      </c>
    </row>
    <row r="18" spans="1:6">
      <c r="A18" s="8" t="s">
        <v>20</v>
      </c>
      <c r="B18" s="8">
        <v>713.44</v>
      </c>
      <c r="C18" s="11">
        <f>SUM('Sales Data'!$S$5:$S$760)</f>
        <v>713.43999999999812</v>
      </c>
      <c r="D18" s="8" t="str">
        <f t="shared" si="0"/>
        <v>CHECK</v>
      </c>
    </row>
    <row r="19" spans="1:6">
      <c r="A19" s="8"/>
      <c r="B19" s="8"/>
      <c r="C19" s="8"/>
      <c r="D19" s="8"/>
    </row>
    <row r="20" spans="1:6" ht="15">
      <c r="A20" s="1" t="s">
        <v>644</v>
      </c>
      <c r="B20" s="1" t="s">
        <v>645</v>
      </c>
      <c r="C20" s="1" t="s">
        <v>646</v>
      </c>
      <c r="D20" s="1" t="s">
        <v>642</v>
      </c>
    </row>
    <row r="21" spans="1:6">
      <c r="A21" s="8" t="s">
        <v>643</v>
      </c>
      <c r="B21" s="8">
        <v>543</v>
      </c>
      <c r="C21" s="8">
        <f>COUNTIFS('Sales Data'!$E$5:$E$760,"&gt;="&amp;DATE(2026,9,29),'Sales Data'!$E$5:$E$760,"&lt;"&amp;DATE(2026,10,2))</f>
        <v>543</v>
      </c>
      <c r="D21" s="8" t="str">
        <f>IF(C21=B21,"OK","CHECK")</f>
        <v>OK</v>
      </c>
    </row>
    <row r="22" spans="1:6">
      <c r="A22" s="8" t="s">
        <v>647</v>
      </c>
      <c r="B22" s="8">
        <v>837</v>
      </c>
      <c r="C22" s="8">
        <f>SUMIFS('Sales Data'!$O$5:$O$760,'Sales Data'!$E$5:$E$760,"&gt;="&amp;DATE(2026,9,29),'Sales Data'!$E$5:$E$760,"&lt;"&amp;DATE(2026,10,2))</f>
        <v>837</v>
      </c>
      <c r="D22" s="8" t="str">
        <f>IF(C22=B22,"OK","CHECK")</f>
        <v>OK</v>
      </c>
    </row>
    <row r="23" spans="1:6">
      <c r="A23" s="8" t="s">
        <v>17</v>
      </c>
      <c r="B23" s="11">
        <v>708.38</v>
      </c>
      <c r="C23" s="11">
        <f>SUMIFS('Sales Data'!$P$5:$P$760,'Sales Data'!$E$5:$E$760,"&gt;="&amp;DATE(2026,9,29),'Sales Data'!$E$5:$E$760,"&lt;"&amp;DATE(2026,10,2))</f>
        <v>708.37999999999784</v>
      </c>
      <c r="D23" s="8" t="str">
        <f>IF(C23=B23,"OK","CHECK")</f>
        <v>CHECK</v>
      </c>
    </row>
    <row r="24" spans="1:6">
      <c r="A24" s="8" t="s">
        <v>627</v>
      </c>
      <c r="B24" s="11">
        <v>803.37</v>
      </c>
      <c r="C24" s="11">
        <f>SUMIFS('Sales Data'!$T$5:$T$760,'Sales Data'!$E$5:$E$760,"&gt;="&amp;DATE(2026,9,29),'Sales Data'!$E$5:$E$760,"&lt;"&amp;DATE(2026,10,2))</f>
        <v>803.37000000000148</v>
      </c>
      <c r="D24" s="8" t="str">
        <f>IF(C24=B24,"OK","CHECK")</f>
        <v>CHECK</v>
      </c>
    </row>
    <row r="26" spans="1:6">
      <c r="A26" s="13" t="s">
        <v>648</v>
      </c>
      <c r="B26" s="13"/>
      <c r="C26" s="13"/>
      <c r="D26" s="13"/>
      <c r="E26" s="13"/>
      <c r="F26" s="13"/>
    </row>
  </sheetData>
  <mergeCells count="4">
    <mergeCell ref="A1:F1"/>
    <mergeCell ref="A7:F7"/>
    <mergeCell ref="A8:F10"/>
    <mergeCell ref="A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sales by item by date</vt:lpstr>
      <vt:lpstr>Shift 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Lister Mudau</cp:lastModifiedBy>
  <dcterms:modified xsi:type="dcterms:W3CDTF">2026-10-05T13:28:21Z</dcterms:modified>
</cp:coreProperties>
</file>